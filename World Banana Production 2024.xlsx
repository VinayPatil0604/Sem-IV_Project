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em-IV\Datasets\"/>
    </mc:Choice>
  </mc:AlternateContent>
  <xr:revisionPtr revIDLastSave="0" documentId="13_ncr:1_{C74668C3-C5A4-40E1-9965-363C5957D941}" xr6:coauthVersionLast="47" xr6:coauthVersionMax="47" xr10:uidLastSave="{00000000-0000-0000-0000-000000000000}"/>
  <bookViews>
    <workbookView xWindow="-108" yWindow="-108" windowWidth="23256" windowHeight="12456" xr2:uid="{9EEA9BB7-375C-4AA6-A1F6-1BD1CA3B6A71}"/>
  </bookViews>
  <sheets>
    <sheet name="Sheet1" sheetId="1" r:id="rId1"/>
  </sheets>
  <definedNames>
    <definedName name="_xlchart.v1.0" hidden="1">Sheet1!$B$3:$B$52</definedName>
    <definedName name="_xlchart.v1.1" hidden="1">Sheet1!$C$3:$C$52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</calcChain>
</file>

<file path=xl/sharedStrings.xml><?xml version="1.0" encoding="utf-8"?>
<sst xmlns="http://schemas.openxmlformats.org/spreadsheetml/2006/main" count="74" uniqueCount="58">
  <si>
    <t>Rank</t>
  </si>
  <si>
    <t>Country</t>
  </si>
  <si>
    <t>India</t>
  </si>
  <si>
    <t>China</t>
  </si>
  <si>
    <t>Indonesia</t>
  </si>
  <si>
    <t>Nigeria</t>
  </si>
  <si>
    <t>Ecuador</t>
  </si>
  <si>
    <t>Brazil</t>
  </si>
  <si>
    <t>Philippines</t>
  </si>
  <si>
    <t>Angola</t>
  </si>
  <si>
    <t>Guatemala</t>
  </si>
  <si>
    <t>Tanzania</t>
  </si>
  <si>
    <t>Kenya</t>
  </si>
  <si>
    <t>Mexico</t>
  </si>
  <si>
    <t>Vietnam</t>
  </si>
  <si>
    <t>Colombia</t>
  </si>
  <si>
    <t>Costa Rica</t>
  </si>
  <si>
    <t>Peru</t>
  </si>
  <si>
    <t>Rwanda</t>
  </si>
  <si>
    <t>Dominican Republic</t>
  </si>
  <si>
    <t>Thailand</t>
  </si>
  <si>
    <t>Papua New Guinea</t>
  </si>
  <si>
    <t>Egypt</t>
  </si>
  <si>
    <t>Burundi</t>
  </si>
  <si>
    <t>Sudan</t>
  </si>
  <si>
    <t>Ethiopia</t>
  </si>
  <si>
    <t>Turkey</t>
  </si>
  <si>
    <t>Cameroon</t>
  </si>
  <si>
    <t>Bangladesh</t>
  </si>
  <si>
    <t>DR Congo</t>
  </si>
  <si>
    <t>Laos</t>
  </si>
  <si>
    <t>Mali</t>
  </si>
  <si>
    <t>Honduras</t>
  </si>
  <si>
    <t>Venezuela</t>
  </si>
  <si>
    <t>Spain (Canary Islands)</t>
  </si>
  <si>
    <t>South Africa</t>
  </si>
  <si>
    <t>Nepal</t>
  </si>
  <si>
    <t>Malawi</t>
  </si>
  <si>
    <t>Madagascar</t>
  </si>
  <si>
    <t>Cambodia</t>
  </si>
  <si>
    <t>Australia</t>
  </si>
  <si>
    <t>Panama</t>
  </si>
  <si>
    <t>Mozambique</t>
  </si>
  <si>
    <t>Taiwan</t>
  </si>
  <si>
    <t>Zimbabwe</t>
  </si>
  <si>
    <t>Morocco</t>
  </si>
  <si>
    <t>Bolivia</t>
  </si>
  <si>
    <t>Pakistan</t>
  </si>
  <si>
    <t>Malaysia</t>
  </si>
  <si>
    <t>Cuba</t>
  </si>
  <si>
    <t>Guinea</t>
  </si>
  <si>
    <t xml:space="preserve">Top 50 Countries of Banana Production in the world </t>
  </si>
  <si>
    <t>Ivory Coast</t>
  </si>
  <si>
    <t>Country/Year</t>
  </si>
  <si>
    <t xml:space="preserve">Production (in Metric Tons) </t>
  </si>
  <si>
    <t xml:space="preserve">Banana Production (2024): Top 15 Countries in the world </t>
  </si>
  <si>
    <t>Production (Million Tonns)</t>
  </si>
  <si>
    <t>Cum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</si>
</sst>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2" fillId="0" borderId="1" xfId="0" applyFont="1" applyBorder="1"/>
    <xf numFmtId="0" fontId="1" fillId="2" borderId="0" xfId="0" applyFont="1" applyFill="1"/>
    <xf numFmtId="0" fontId="1" fillId="2" borderId="2" xfId="0" applyFont="1" applyFill="1" applyBorder="1"/>
    <xf numFmtId="2" fontId="2" fillId="0" borderId="0" xfId="0" applyNumberFormat="1" applyFont="1" applyAlignment="1">
      <alignment wrapText="1"/>
    </xf>
    <xf numFmtId="2" fontId="0" fillId="0" borderId="1" xfId="0" applyNumberFormat="1" applyBorder="1"/>
    <xf numFmtId="0" fontId="1" fillId="0" borderId="1" xfId="0" applyFont="1" applyBorder="1"/>
    <xf numFmtId="4" fontId="2" fillId="0" borderId="1" xfId="0" applyNumberFormat="1" applyFont="1" applyBorder="1" applyAlignment="1">
      <alignment horizontal="right" wrapText="1"/>
    </xf>
    <xf numFmtId="0" fontId="3" fillId="0" borderId="0" xfId="0" applyFont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Preto Chart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  <a:cs typeface="Cambria Math" panose="02040503050406030204" pitchFamily="18" charset="0"/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</a:rPr>
            <a:t>Preto Chart </a:t>
          </a:r>
        </a:p>
      </cx:txPr>
    </cx:title>
    <cx:plotArea>
      <cx:plotAreaRegion>
        <cx:series layoutId="clusteredColumn" uniqueId="{50438969-DE29-4721-9274-964F2B7A484E}">
          <cx:dataId val="0"/>
          <cx:layoutPr>
            <cx:aggregation/>
          </cx:layoutPr>
          <cx:axisId val="1"/>
        </cx:series>
        <cx:series layoutId="paretoLine" ownerIdx="0" uniqueId="{CD7DB27D-0E28-4C79-B3C5-DD690230B0F1}">
          <cx:axisId val="2"/>
        </cx:series>
      </cx:plotAreaRegion>
      <cx:axis id="0">
        <cx:catScaling gapWidth="0"/>
        <cx:title>
          <cx:tx>
            <cx:txData>
              <cx:v>Country Name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latin typeface="Cambria Math" panose="02040503050406030204" pitchFamily="18" charset="0"/>
                  <a:ea typeface="Cambria Math" panose="02040503050406030204" pitchFamily="18" charset="0"/>
                  <a:cs typeface="Cambria Math" panose="02040503050406030204" pitchFamily="18" charset="0"/>
                </a:defRPr>
              </a:pPr>
              <a:r>
                <a: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Country Name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Cambria Math" panose="02040503050406030204" pitchFamily="18" charset="0"/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</a:endParaRPr>
          </a:p>
        </cx:txPr>
      </cx:axis>
      <cx:axis id="1">
        <cx:valScaling/>
        <cx:title>
          <cx:tx>
            <cx:txData>
              <cx:v>Production (Million Tonns)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Cambria Math" panose="02040503050406030204" pitchFamily="18" charset="0"/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Production (Million Tonns)</a:t>
              </a:r>
            </a:p>
          </cx:txPr>
        </cx:title>
        <cx:majorGridlines/>
        <cx:tickLabels/>
      </cx:axis>
      <cx:axis id="2">
        <cx:valScaling max="1" min="0"/>
        <cx:title>
          <cx:tx>
            <cx:txData>
              <cx:v>% of Total Production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Cambria Math" panose="02040503050406030204" pitchFamily="18" charset="0"/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% of Total Production</a:t>
              </a:r>
            </a:p>
          </cx:txPr>
        </cx:title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90465</xdr:colOff>
      <xdr:row>1</xdr:row>
      <xdr:rowOff>156978</xdr:rowOff>
    </xdr:from>
    <xdr:to>
      <xdr:col>8</xdr:col>
      <xdr:colOff>1593607</xdr:colOff>
      <xdr:row>24</xdr:row>
      <xdr:rowOff>87923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EA47FD5-B3E7-0391-8802-70E91623A9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1045" y="339858"/>
              <a:ext cx="7842982" cy="4137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A3E2-1E3B-4F27-9F54-11963BD3B409}">
  <dimension ref="A1:O52"/>
  <sheetViews>
    <sheetView tabSelected="1" zoomScale="104" zoomScaleNormal="118" workbookViewId="0">
      <selection activeCell="F74" sqref="F74"/>
    </sheetView>
  </sheetViews>
  <sheetFormatPr defaultRowHeight="14.4" x14ac:dyDescent="0.3"/>
  <cols>
    <col min="1" max="1" width="5.44140625" bestFit="1" customWidth="1"/>
    <col min="2" max="2" width="20" bestFit="1" customWidth="1"/>
    <col min="3" max="3" width="23.77734375" bestFit="1" customWidth="1"/>
    <col min="4" max="4" width="18.44140625" customWidth="1"/>
    <col min="5" max="5" width="22.33203125" customWidth="1"/>
    <col min="6" max="6" width="25.44140625" bestFit="1" customWidth="1"/>
    <col min="7" max="7" width="21.5546875" bestFit="1" customWidth="1"/>
    <col min="8" max="8" width="23.109375" bestFit="1" customWidth="1"/>
    <col min="9" max="9" width="25" customWidth="1"/>
    <col min="10" max="10" width="5.44140625" bestFit="1" customWidth="1"/>
    <col min="11" max="11" width="17.44140625" bestFit="1" customWidth="1"/>
    <col min="12" max="12" width="23.77734375" bestFit="1" customWidth="1"/>
    <col min="13" max="13" width="7.5546875" customWidth="1"/>
    <col min="14" max="14" width="20" bestFit="1" customWidth="1"/>
    <col min="15" max="15" width="16.88671875" bestFit="1" customWidth="1"/>
  </cols>
  <sheetData>
    <row r="1" spans="1:15" x14ac:dyDescent="0.3">
      <c r="A1" s="15" t="s">
        <v>51</v>
      </c>
      <c r="B1" s="15"/>
      <c r="C1" s="15"/>
      <c r="D1" s="4"/>
      <c r="J1" s="15" t="s">
        <v>51</v>
      </c>
      <c r="K1" s="15"/>
      <c r="L1" s="15"/>
    </row>
    <row r="2" spans="1:15" x14ac:dyDescent="0.3">
      <c r="A2" s="1" t="s">
        <v>0</v>
      </c>
      <c r="B2" s="1" t="s">
        <v>1</v>
      </c>
      <c r="C2" s="10" t="s">
        <v>56</v>
      </c>
      <c r="D2" s="12" t="s">
        <v>57</v>
      </c>
      <c r="J2" s="1"/>
      <c r="K2" s="1"/>
      <c r="L2" s="10"/>
      <c r="M2" s="4"/>
      <c r="N2" s="4"/>
      <c r="O2" s="4"/>
    </row>
    <row r="3" spans="1:15" x14ac:dyDescent="0.3">
      <c r="A3" s="2">
        <v>1</v>
      </c>
      <c r="B3" s="3" t="s">
        <v>2</v>
      </c>
      <c r="C3" s="9">
        <v>36.613999999999997</v>
      </c>
      <c r="D3" s="8">
        <f>C3</f>
        <v>36.613999999999997</v>
      </c>
      <c r="J3" s="2"/>
      <c r="K3" s="3"/>
      <c r="L3" s="9"/>
      <c r="M3" s="2"/>
      <c r="N3" s="3"/>
      <c r="O3" s="9"/>
    </row>
    <row r="4" spans="1:15" x14ac:dyDescent="0.3">
      <c r="A4" s="2">
        <v>2</v>
      </c>
      <c r="B4" s="3" t="s">
        <v>3</v>
      </c>
      <c r="C4" s="9">
        <v>12.062200000000001</v>
      </c>
      <c r="D4" s="8">
        <f>D3+C4</f>
        <v>48.676199999999994</v>
      </c>
      <c r="J4" s="2"/>
      <c r="K4" s="3"/>
      <c r="L4" s="9"/>
      <c r="M4" s="2"/>
      <c r="N4" s="3"/>
      <c r="O4" s="9"/>
    </row>
    <row r="5" spans="1:15" x14ac:dyDescent="0.3">
      <c r="A5" s="2">
        <v>3</v>
      </c>
      <c r="B5" s="3" t="s">
        <v>4</v>
      </c>
      <c r="C5" s="9">
        <v>9.3352000000000004</v>
      </c>
      <c r="D5" s="8">
        <f>D4+C5</f>
        <v>58.011399999999995</v>
      </c>
      <c r="J5" s="2"/>
      <c r="K5" s="3"/>
      <c r="L5" s="9"/>
      <c r="M5" s="2"/>
      <c r="N5" s="3"/>
      <c r="O5" s="9"/>
    </row>
    <row r="6" spans="1:15" x14ac:dyDescent="0.3">
      <c r="A6" s="2">
        <v>4</v>
      </c>
      <c r="B6" s="3" t="s">
        <v>5</v>
      </c>
      <c r="C6" s="9">
        <v>7.3080999999999996</v>
      </c>
      <c r="D6" s="8">
        <f t="shared" ref="D6:D52" si="0">D5+C6</f>
        <v>65.319499999999991</v>
      </c>
      <c r="J6" s="2"/>
      <c r="K6" s="3"/>
      <c r="L6" s="9"/>
      <c r="M6" s="2"/>
      <c r="N6" s="3"/>
      <c r="O6" s="9"/>
    </row>
    <row r="7" spans="1:15" x14ac:dyDescent="0.3">
      <c r="A7" s="2">
        <v>5</v>
      </c>
      <c r="B7" s="3" t="s">
        <v>6</v>
      </c>
      <c r="C7" s="9">
        <v>7.1985000000000001</v>
      </c>
      <c r="D7" s="8">
        <f t="shared" si="0"/>
        <v>72.517999999999986</v>
      </c>
      <c r="J7" s="2"/>
      <c r="K7" s="3"/>
      <c r="L7" s="9"/>
      <c r="M7" s="2"/>
      <c r="N7" s="3"/>
      <c r="O7" s="9"/>
    </row>
    <row r="8" spans="1:15" x14ac:dyDescent="0.3">
      <c r="A8" s="2">
        <v>6</v>
      </c>
      <c r="B8" s="3" t="s">
        <v>7</v>
      </c>
      <c r="C8" s="9">
        <v>6.8257000000000003</v>
      </c>
      <c r="D8" s="8">
        <f t="shared" si="0"/>
        <v>79.343699999999984</v>
      </c>
      <c r="J8" s="2"/>
      <c r="K8" s="3"/>
      <c r="L8" s="9"/>
      <c r="M8" s="2"/>
      <c r="N8" s="3"/>
      <c r="O8" s="9"/>
    </row>
    <row r="9" spans="1:15" x14ac:dyDescent="0.3">
      <c r="A9" s="2">
        <v>7</v>
      </c>
      <c r="B9" s="3" t="s">
        <v>8</v>
      </c>
      <c r="C9" s="9">
        <v>5.8714000000000004</v>
      </c>
      <c r="D9" s="8">
        <f t="shared" si="0"/>
        <v>85.215099999999978</v>
      </c>
      <c r="J9" s="2"/>
      <c r="K9" s="3"/>
      <c r="L9" s="9"/>
      <c r="M9" s="2"/>
      <c r="N9" s="3"/>
      <c r="O9" s="9"/>
    </row>
    <row r="10" spans="1:15" x14ac:dyDescent="0.3">
      <c r="A10" s="2">
        <v>8</v>
      </c>
      <c r="B10" s="3" t="s">
        <v>9</v>
      </c>
      <c r="C10" s="9">
        <v>4.8936999999999999</v>
      </c>
      <c r="D10" s="8">
        <f t="shared" si="0"/>
        <v>90.108799999999974</v>
      </c>
      <c r="J10" s="2"/>
      <c r="K10" s="3"/>
      <c r="L10" s="9"/>
      <c r="M10" s="2"/>
      <c r="N10" s="5"/>
      <c r="O10" s="9"/>
    </row>
    <row r="11" spans="1:15" x14ac:dyDescent="0.3">
      <c r="A11" s="2">
        <v>9</v>
      </c>
      <c r="B11" s="3" t="s">
        <v>10</v>
      </c>
      <c r="C11" s="9">
        <v>4.3905000000000003</v>
      </c>
      <c r="D11" s="8">
        <f t="shared" si="0"/>
        <v>94.499299999999977</v>
      </c>
      <c r="J11" s="2"/>
      <c r="K11" s="3"/>
      <c r="L11" s="9"/>
      <c r="M11" s="13"/>
      <c r="N11" s="5"/>
      <c r="O11" s="9"/>
    </row>
    <row r="12" spans="1:15" x14ac:dyDescent="0.3">
      <c r="A12" s="2">
        <v>10</v>
      </c>
      <c r="B12" s="3" t="s">
        <v>11</v>
      </c>
      <c r="C12" s="9">
        <v>3.6737000000000002</v>
      </c>
      <c r="D12" s="8">
        <f t="shared" si="0"/>
        <v>98.172999999999973</v>
      </c>
      <c r="J12" s="2"/>
      <c r="K12" s="3"/>
      <c r="L12" s="9"/>
      <c r="M12" s="2"/>
      <c r="N12" s="3"/>
      <c r="O12" s="9"/>
    </row>
    <row r="13" spans="1:15" x14ac:dyDescent="0.3">
      <c r="A13" s="2">
        <v>11</v>
      </c>
      <c r="B13" s="3" t="s">
        <v>12</v>
      </c>
      <c r="C13" s="9">
        <v>2.9068999999999998</v>
      </c>
      <c r="D13" s="8">
        <f t="shared" si="0"/>
        <v>101.07989999999997</v>
      </c>
      <c r="J13" s="2"/>
      <c r="K13" s="3"/>
      <c r="L13" s="9"/>
      <c r="M13" s="2"/>
      <c r="N13" s="3"/>
      <c r="O13" s="9"/>
    </row>
    <row r="14" spans="1:15" x14ac:dyDescent="0.3">
      <c r="A14" s="2">
        <v>12</v>
      </c>
      <c r="B14" s="3" t="s">
        <v>13</v>
      </c>
      <c r="C14" s="9">
        <v>2.6423000000000001</v>
      </c>
      <c r="D14" s="8">
        <f t="shared" si="0"/>
        <v>103.72219999999997</v>
      </c>
      <c r="J14" s="2"/>
      <c r="K14" s="3"/>
      <c r="L14" s="9"/>
      <c r="M14" s="2"/>
      <c r="N14" s="3"/>
      <c r="O14" s="9"/>
    </row>
    <row r="15" spans="1:15" x14ac:dyDescent="0.3">
      <c r="A15" s="2">
        <v>13</v>
      </c>
      <c r="B15" s="3" t="s">
        <v>14</v>
      </c>
      <c r="C15" s="9">
        <v>2.6394000000000002</v>
      </c>
      <c r="D15" s="8">
        <f t="shared" si="0"/>
        <v>106.36159999999997</v>
      </c>
      <c r="J15" s="2"/>
      <c r="K15" s="3"/>
      <c r="L15" s="9"/>
      <c r="M15" s="2"/>
      <c r="N15" s="3"/>
      <c r="O15" s="9"/>
    </row>
    <row r="16" spans="1:15" x14ac:dyDescent="0.3">
      <c r="A16" s="2">
        <v>14</v>
      </c>
      <c r="B16" s="3" t="s">
        <v>15</v>
      </c>
      <c r="C16" s="9">
        <v>2.5543</v>
      </c>
      <c r="D16" s="8">
        <f t="shared" si="0"/>
        <v>108.91589999999997</v>
      </c>
      <c r="J16" s="2"/>
      <c r="K16" s="3"/>
      <c r="L16" s="9"/>
      <c r="M16" s="2"/>
      <c r="N16" s="3"/>
      <c r="O16" s="9"/>
    </row>
    <row r="17" spans="1:15" x14ac:dyDescent="0.3">
      <c r="A17" s="2">
        <v>15</v>
      </c>
      <c r="B17" s="3" t="s">
        <v>16</v>
      </c>
      <c r="C17" s="9">
        <v>2.5329000000000002</v>
      </c>
      <c r="D17" s="8">
        <f t="shared" si="0"/>
        <v>111.44879999999996</v>
      </c>
      <c r="J17" s="2"/>
      <c r="K17" s="3"/>
      <c r="L17" s="9"/>
      <c r="M17" s="2"/>
      <c r="N17" s="3"/>
      <c r="O17" s="9"/>
    </row>
    <row r="18" spans="1:15" x14ac:dyDescent="0.3">
      <c r="A18" s="2">
        <v>16</v>
      </c>
      <c r="B18" s="3" t="s">
        <v>17</v>
      </c>
      <c r="C18" s="9">
        <v>2.4159999999999999</v>
      </c>
      <c r="D18" s="8">
        <f t="shared" si="0"/>
        <v>113.86479999999996</v>
      </c>
      <c r="J18" s="2"/>
      <c r="K18" s="3"/>
      <c r="L18" s="9"/>
      <c r="M18" s="2"/>
      <c r="N18" s="3"/>
      <c r="O18" s="9"/>
    </row>
    <row r="19" spans="1:15" x14ac:dyDescent="0.3">
      <c r="A19" s="2">
        <v>17</v>
      </c>
      <c r="B19" s="3" t="s">
        <v>18</v>
      </c>
      <c r="C19" s="9">
        <v>2.3088000000000002</v>
      </c>
      <c r="D19" s="8">
        <f t="shared" si="0"/>
        <v>116.17359999999996</v>
      </c>
      <c r="J19" s="2"/>
      <c r="K19" s="3"/>
      <c r="L19" s="9"/>
      <c r="M19" s="2"/>
      <c r="N19" s="3"/>
      <c r="O19" s="9"/>
    </row>
    <row r="20" spans="1:15" x14ac:dyDescent="0.3">
      <c r="A20" s="2">
        <v>18</v>
      </c>
      <c r="B20" s="3" t="s">
        <v>19</v>
      </c>
      <c r="C20" s="9">
        <v>1.6551</v>
      </c>
      <c r="D20" s="8">
        <f t="shared" si="0"/>
        <v>117.82869999999997</v>
      </c>
      <c r="J20" s="2"/>
      <c r="K20" s="3"/>
      <c r="L20" s="9"/>
      <c r="M20" s="2"/>
      <c r="N20" s="3"/>
      <c r="O20" s="9"/>
    </row>
    <row r="21" spans="1:15" x14ac:dyDescent="0.3">
      <c r="A21" s="2">
        <v>19</v>
      </c>
      <c r="B21" s="3" t="s">
        <v>20</v>
      </c>
      <c r="C21" s="9">
        <v>1.2968999999999999</v>
      </c>
      <c r="D21" s="8">
        <f t="shared" si="0"/>
        <v>119.12559999999996</v>
      </c>
      <c r="J21" s="2"/>
      <c r="K21" s="3"/>
      <c r="L21" s="9"/>
      <c r="M21" s="2"/>
      <c r="N21" s="3"/>
      <c r="O21" s="9"/>
    </row>
    <row r="22" spans="1:15" x14ac:dyDescent="0.3">
      <c r="A22" s="2">
        <v>20</v>
      </c>
      <c r="B22" s="3" t="s">
        <v>21</v>
      </c>
      <c r="C22" s="9">
        <v>1.2502</v>
      </c>
      <c r="D22" s="8">
        <f t="shared" si="0"/>
        <v>120.37579999999997</v>
      </c>
      <c r="J22" s="2"/>
      <c r="K22" s="3"/>
      <c r="L22" s="9"/>
      <c r="M22" s="2"/>
      <c r="N22" s="3"/>
      <c r="O22" s="9"/>
    </row>
    <row r="23" spans="1:15" x14ac:dyDescent="0.3">
      <c r="A23" s="2">
        <v>21</v>
      </c>
      <c r="B23" s="3" t="s">
        <v>22</v>
      </c>
      <c r="C23" s="9">
        <v>1.1943999999999999</v>
      </c>
      <c r="D23" s="8">
        <f t="shared" si="0"/>
        <v>121.57019999999997</v>
      </c>
      <c r="J23" s="2"/>
      <c r="K23" s="3"/>
      <c r="L23" s="9"/>
      <c r="M23" s="2"/>
      <c r="N23" s="3"/>
      <c r="O23" s="9"/>
    </row>
    <row r="24" spans="1:15" x14ac:dyDescent="0.3">
      <c r="A24" s="2">
        <v>22</v>
      </c>
      <c r="B24" s="3" t="s">
        <v>23</v>
      </c>
      <c r="C24" s="9">
        <v>1.1493</v>
      </c>
      <c r="D24" s="8">
        <f t="shared" si="0"/>
        <v>122.71949999999997</v>
      </c>
      <c r="J24" s="2"/>
      <c r="K24" s="3"/>
      <c r="L24" s="9"/>
      <c r="M24" s="2"/>
      <c r="N24" s="3"/>
      <c r="O24" s="9"/>
    </row>
    <row r="25" spans="1:15" x14ac:dyDescent="0.3">
      <c r="A25" s="2">
        <v>23</v>
      </c>
      <c r="B25" s="3" t="s">
        <v>24</v>
      </c>
      <c r="C25" s="9">
        <v>0.94669999999999999</v>
      </c>
      <c r="D25" s="8">
        <f t="shared" si="0"/>
        <v>123.66619999999998</v>
      </c>
      <c r="J25" s="2"/>
      <c r="K25" s="3"/>
      <c r="L25" s="9"/>
      <c r="M25" s="2"/>
      <c r="N25" s="3"/>
      <c r="O25" s="9"/>
    </row>
    <row r="26" spans="1:15" x14ac:dyDescent="0.3">
      <c r="A26" s="2">
        <v>24</v>
      </c>
      <c r="B26" s="3" t="s">
        <v>25</v>
      </c>
      <c r="C26" s="9">
        <v>0.93799999999999994</v>
      </c>
      <c r="D26" s="8">
        <f t="shared" si="0"/>
        <v>124.60419999999998</v>
      </c>
      <c r="J26" s="2"/>
      <c r="K26" s="3"/>
      <c r="L26" s="9"/>
      <c r="M26" s="2"/>
      <c r="N26" s="3"/>
      <c r="O26" s="9"/>
    </row>
    <row r="27" spans="1:15" x14ac:dyDescent="0.3">
      <c r="A27" s="2">
        <v>25</v>
      </c>
      <c r="B27" s="3" t="s">
        <v>26</v>
      </c>
      <c r="C27" s="9">
        <v>0.93020000000000003</v>
      </c>
      <c r="D27" s="8">
        <f t="shared" si="0"/>
        <v>125.53439999999998</v>
      </c>
      <c r="J27" s="2"/>
      <c r="K27" s="3"/>
      <c r="L27" s="9"/>
      <c r="M27" s="2"/>
      <c r="N27" s="3"/>
      <c r="O27" s="9"/>
    </row>
    <row r="28" spans="1:15" x14ac:dyDescent="0.3">
      <c r="A28" s="2">
        <v>26</v>
      </c>
      <c r="B28" s="3" t="s">
        <v>27</v>
      </c>
      <c r="C28" s="9">
        <v>0.86519999999999997</v>
      </c>
      <c r="D28" s="8">
        <f t="shared" si="0"/>
        <v>126.39959999999998</v>
      </c>
    </row>
    <row r="29" spans="1:15" x14ac:dyDescent="0.3">
      <c r="A29" s="2">
        <v>27</v>
      </c>
      <c r="B29" s="3" t="s">
        <v>28</v>
      </c>
      <c r="C29" s="9">
        <v>0.84040000000000004</v>
      </c>
      <c r="D29" s="8">
        <f t="shared" si="0"/>
        <v>127.23999999999998</v>
      </c>
    </row>
    <row r="30" spans="1:15" x14ac:dyDescent="0.3">
      <c r="A30" s="2">
        <v>28</v>
      </c>
      <c r="B30" s="3" t="s">
        <v>29</v>
      </c>
      <c r="C30" s="9">
        <v>0.80969999999999998</v>
      </c>
      <c r="D30" s="8">
        <f t="shared" si="0"/>
        <v>128.04969999999997</v>
      </c>
      <c r="E30" s="15" t="s">
        <v>55</v>
      </c>
      <c r="F30" s="15"/>
    </row>
    <row r="31" spans="1:15" x14ac:dyDescent="0.3">
      <c r="A31" s="2">
        <v>29</v>
      </c>
      <c r="B31" s="3" t="s">
        <v>30</v>
      </c>
      <c r="C31" s="9">
        <v>0.72360000000000002</v>
      </c>
      <c r="D31" s="8">
        <f t="shared" si="0"/>
        <v>128.77329999999998</v>
      </c>
      <c r="E31" s="6" t="s">
        <v>53</v>
      </c>
      <c r="F31" s="7" t="s">
        <v>54</v>
      </c>
    </row>
    <row r="32" spans="1:15" x14ac:dyDescent="0.3">
      <c r="A32" s="2">
        <v>30</v>
      </c>
      <c r="B32" s="3" t="s">
        <v>31</v>
      </c>
      <c r="C32" s="9">
        <v>0.56440000000000001</v>
      </c>
      <c r="D32" s="8">
        <f t="shared" si="0"/>
        <v>129.33769999999998</v>
      </c>
      <c r="E32" s="3" t="s">
        <v>2</v>
      </c>
      <c r="F32" s="11">
        <v>36.613999999999997</v>
      </c>
    </row>
    <row r="33" spans="1:6" x14ac:dyDescent="0.3">
      <c r="A33" s="2">
        <v>31</v>
      </c>
      <c r="B33" s="3" t="s">
        <v>32</v>
      </c>
      <c r="C33" s="9">
        <v>0.56410000000000005</v>
      </c>
      <c r="D33" s="8">
        <f t="shared" si="0"/>
        <v>129.90179999999998</v>
      </c>
      <c r="E33" s="3" t="s">
        <v>3</v>
      </c>
      <c r="F33" s="11">
        <v>12.062200000000001</v>
      </c>
    </row>
    <row r="34" spans="1:6" x14ac:dyDescent="0.3">
      <c r="A34" s="2">
        <v>32</v>
      </c>
      <c r="B34" s="3" t="s">
        <v>33</v>
      </c>
      <c r="C34" s="9">
        <v>0.54200000000000004</v>
      </c>
      <c r="D34" s="8">
        <f t="shared" si="0"/>
        <v>130.44379999999998</v>
      </c>
      <c r="E34" s="3" t="s">
        <v>4</v>
      </c>
      <c r="F34" s="11">
        <v>9.3352000000000004</v>
      </c>
    </row>
    <row r="35" spans="1:6" x14ac:dyDescent="0.3">
      <c r="A35" s="2">
        <v>33</v>
      </c>
      <c r="B35" s="5" t="s">
        <v>52</v>
      </c>
      <c r="C35" s="9">
        <v>0.51390000000000002</v>
      </c>
      <c r="D35" s="8">
        <f t="shared" si="0"/>
        <v>130.95769999999999</v>
      </c>
      <c r="E35" s="3" t="s">
        <v>5</v>
      </c>
      <c r="F35" s="11">
        <v>7.3080999999999996</v>
      </c>
    </row>
    <row r="36" spans="1:6" x14ac:dyDescent="0.3">
      <c r="A36" s="13">
        <v>34</v>
      </c>
      <c r="B36" s="5" t="s">
        <v>34</v>
      </c>
      <c r="C36" s="9">
        <v>0.46729999999999999</v>
      </c>
      <c r="D36" s="8">
        <f t="shared" si="0"/>
        <v>131.42499999999998</v>
      </c>
      <c r="E36" s="5" t="s">
        <v>6</v>
      </c>
      <c r="F36" s="14">
        <v>7.1985000000000001</v>
      </c>
    </row>
    <row r="37" spans="1:6" x14ac:dyDescent="0.3">
      <c r="A37" s="2">
        <v>35</v>
      </c>
      <c r="B37" s="3" t="s">
        <v>35</v>
      </c>
      <c r="C37" s="9">
        <v>0.42880000000000001</v>
      </c>
      <c r="D37" s="8">
        <f t="shared" si="0"/>
        <v>131.85379999999998</v>
      </c>
      <c r="E37" s="3" t="s">
        <v>7</v>
      </c>
      <c r="F37" s="11">
        <v>6.8257000000000003</v>
      </c>
    </row>
    <row r="38" spans="1:6" x14ac:dyDescent="0.3">
      <c r="A38" s="2">
        <v>36</v>
      </c>
      <c r="B38" s="3" t="s">
        <v>36</v>
      </c>
      <c r="C38" s="9">
        <v>0.4047</v>
      </c>
      <c r="D38" s="8">
        <f t="shared" si="0"/>
        <v>132.25849999999997</v>
      </c>
      <c r="E38" s="3" t="s">
        <v>8</v>
      </c>
      <c r="F38" s="11">
        <v>5.8714000000000004</v>
      </c>
    </row>
    <row r="39" spans="1:6" x14ac:dyDescent="0.3">
      <c r="A39" s="2">
        <v>37</v>
      </c>
      <c r="B39" s="3" t="s">
        <v>37</v>
      </c>
      <c r="C39" s="9">
        <v>0.40310000000000001</v>
      </c>
      <c r="D39" s="8">
        <f t="shared" si="0"/>
        <v>132.66159999999996</v>
      </c>
      <c r="E39" s="3" t="s">
        <v>9</v>
      </c>
      <c r="F39" s="11">
        <v>4.8936999999999999</v>
      </c>
    </row>
    <row r="40" spans="1:6" x14ac:dyDescent="0.3">
      <c r="A40" s="2">
        <v>38</v>
      </c>
      <c r="B40" s="3" t="s">
        <v>38</v>
      </c>
      <c r="C40" s="9">
        <v>0.40200000000000002</v>
      </c>
      <c r="D40" s="8">
        <f t="shared" si="0"/>
        <v>133.06359999999995</v>
      </c>
      <c r="E40" s="3" t="s">
        <v>10</v>
      </c>
      <c r="F40" s="11">
        <v>4.3905000000000003</v>
      </c>
    </row>
    <row r="41" spans="1:6" x14ac:dyDescent="0.3">
      <c r="A41" s="2">
        <v>39</v>
      </c>
      <c r="B41" s="3" t="s">
        <v>39</v>
      </c>
      <c r="C41" s="9">
        <v>0.37840000000000001</v>
      </c>
      <c r="D41" s="8">
        <f t="shared" si="0"/>
        <v>133.44199999999995</v>
      </c>
      <c r="E41" s="3" t="s">
        <v>11</v>
      </c>
      <c r="F41" s="11">
        <v>3.6737000000000002</v>
      </c>
    </row>
    <row r="42" spans="1:6" x14ac:dyDescent="0.3">
      <c r="A42" s="2">
        <v>40</v>
      </c>
      <c r="B42" s="3" t="s">
        <v>40</v>
      </c>
      <c r="C42" s="9">
        <v>0.37430000000000002</v>
      </c>
      <c r="D42" s="8">
        <f t="shared" si="0"/>
        <v>133.81629999999996</v>
      </c>
      <c r="E42" s="3" t="s">
        <v>12</v>
      </c>
      <c r="F42" s="11">
        <v>2.9068999999999998</v>
      </c>
    </row>
    <row r="43" spans="1:6" x14ac:dyDescent="0.3">
      <c r="A43" s="2">
        <v>41</v>
      </c>
      <c r="B43" s="3" t="s">
        <v>41</v>
      </c>
      <c r="C43" s="9">
        <v>0.3725</v>
      </c>
      <c r="D43" s="8">
        <f t="shared" si="0"/>
        <v>134.18879999999996</v>
      </c>
      <c r="E43" s="3" t="s">
        <v>13</v>
      </c>
      <c r="F43" s="11">
        <v>2.6423000000000001</v>
      </c>
    </row>
    <row r="44" spans="1:6" x14ac:dyDescent="0.3">
      <c r="A44" s="2">
        <v>42</v>
      </c>
      <c r="B44" s="3" t="s">
        <v>42</v>
      </c>
      <c r="C44" s="9">
        <v>0.37140000000000001</v>
      </c>
      <c r="D44" s="8">
        <f t="shared" si="0"/>
        <v>134.56019999999995</v>
      </c>
      <c r="E44" s="3" t="s">
        <v>14</v>
      </c>
      <c r="F44" s="11">
        <v>2.6394000000000002</v>
      </c>
    </row>
    <row r="45" spans="1:6" x14ac:dyDescent="0.3">
      <c r="A45" s="2">
        <v>43</v>
      </c>
      <c r="B45" s="3" t="s">
        <v>43</v>
      </c>
      <c r="C45" s="9">
        <v>0.3594</v>
      </c>
      <c r="D45" s="8">
        <f t="shared" si="0"/>
        <v>134.91959999999995</v>
      </c>
      <c r="E45" s="3" t="s">
        <v>15</v>
      </c>
      <c r="F45" s="11">
        <v>2.5543</v>
      </c>
    </row>
    <row r="46" spans="1:6" x14ac:dyDescent="0.3">
      <c r="A46" s="2">
        <v>44</v>
      </c>
      <c r="B46" s="3" t="s">
        <v>44</v>
      </c>
      <c r="C46" s="9">
        <v>0.31119999999999998</v>
      </c>
      <c r="D46" s="8">
        <f t="shared" si="0"/>
        <v>135.23079999999996</v>
      </c>
      <c r="E46" s="3" t="s">
        <v>16</v>
      </c>
      <c r="F46" s="11">
        <v>2.5329000000000002</v>
      </c>
    </row>
    <row r="47" spans="1:6" x14ac:dyDescent="0.3">
      <c r="A47" s="2">
        <v>45</v>
      </c>
      <c r="B47" s="3" t="s">
        <v>45</v>
      </c>
      <c r="C47" s="9">
        <v>0.30919999999999997</v>
      </c>
      <c r="D47" s="8">
        <f t="shared" si="0"/>
        <v>135.53999999999996</v>
      </c>
    </row>
    <row r="48" spans="1:6" x14ac:dyDescent="0.3">
      <c r="A48" s="2">
        <v>46</v>
      </c>
      <c r="B48" s="3" t="s">
        <v>46</v>
      </c>
      <c r="C48" s="9">
        <v>0.30549999999999999</v>
      </c>
      <c r="D48" s="8">
        <f t="shared" si="0"/>
        <v>135.84549999999996</v>
      </c>
    </row>
    <row r="49" spans="1:4" x14ac:dyDescent="0.3">
      <c r="A49" s="2">
        <v>47</v>
      </c>
      <c r="B49" s="3" t="s">
        <v>47</v>
      </c>
      <c r="C49" s="9">
        <v>0.2918</v>
      </c>
      <c r="D49" s="8">
        <f t="shared" si="0"/>
        <v>136.13729999999995</v>
      </c>
    </row>
    <row r="50" spans="1:4" x14ac:dyDescent="0.3">
      <c r="A50" s="2">
        <v>48</v>
      </c>
      <c r="B50" s="3" t="s">
        <v>48</v>
      </c>
      <c r="C50" s="9">
        <v>0.2782</v>
      </c>
      <c r="D50" s="8">
        <f t="shared" si="0"/>
        <v>136.41549999999995</v>
      </c>
    </row>
    <row r="51" spans="1:4" x14ac:dyDescent="0.3">
      <c r="A51" s="2">
        <v>49</v>
      </c>
      <c r="B51" s="3" t="s">
        <v>49</v>
      </c>
      <c r="C51" s="9">
        <v>0.24590000000000001</v>
      </c>
      <c r="D51" s="8">
        <f t="shared" si="0"/>
        <v>136.66139999999996</v>
      </c>
    </row>
    <row r="52" spans="1:4" x14ac:dyDescent="0.3">
      <c r="A52" s="2">
        <v>50</v>
      </c>
      <c r="B52" s="3" t="s">
        <v>50</v>
      </c>
      <c r="C52" s="9">
        <v>0.24497794117647101</v>
      </c>
      <c r="D52" s="8">
        <f t="shared" si="0"/>
        <v>136.90637794117643</v>
      </c>
    </row>
  </sheetData>
  <mergeCells count="3">
    <mergeCell ref="A1:C1"/>
    <mergeCell ref="E30:F30"/>
    <mergeCell ref="J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</cp:lastModifiedBy>
  <dcterms:created xsi:type="dcterms:W3CDTF">2026-01-06T14:21:47Z</dcterms:created>
  <dcterms:modified xsi:type="dcterms:W3CDTF">2026-04-15T17:38:22Z</dcterms:modified>
</cp:coreProperties>
</file>