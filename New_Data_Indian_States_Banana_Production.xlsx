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\Sem-IV\Datasets\"/>
    </mc:Choice>
  </mc:AlternateContent>
  <xr:revisionPtr revIDLastSave="0" documentId="13_ncr:1_{E2B2E148-A37B-458A-8D64-F0BBE086BE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ation" sheetId="1" r:id="rId1"/>
    <sheet name="pareto" sheetId="3" r:id="rId2"/>
    <sheet name="Are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7" i="1" l="1"/>
  <c r="T27" i="1" l="1"/>
  <c r="C27" i="1"/>
  <c r="D27" i="1"/>
  <c r="H27" i="1"/>
  <c r="I27" i="1"/>
  <c r="J27" i="1"/>
  <c r="L27" i="1"/>
  <c r="M27" i="1"/>
  <c r="N27" i="1"/>
  <c r="O27" i="1"/>
  <c r="P27" i="1"/>
  <c r="Q27" i="1"/>
  <c r="R27" i="1"/>
  <c r="S27" i="1"/>
  <c r="B27" i="1"/>
  <c r="H23" i="4" l="1"/>
  <c r="K22" i="1" l="1"/>
  <c r="K27" i="1" s="1"/>
  <c r="E22" i="1"/>
  <c r="E27" i="1" s="1"/>
  <c r="F13" i="1"/>
  <c r="F27" i="1" s="1"/>
  <c r="G24" i="1" l="1"/>
  <c r="G23" i="1"/>
  <c r="G21" i="1"/>
  <c r="G20" i="1"/>
  <c r="G19" i="1"/>
  <c r="G17" i="1"/>
  <c r="G16" i="1"/>
  <c r="G15" i="1"/>
  <c r="G14" i="1"/>
  <c r="G11" i="1"/>
  <c r="G22" i="1"/>
  <c r="G27" i="1" l="1"/>
</calcChain>
</file>

<file path=xl/sharedStrings.xml><?xml version="1.0" encoding="utf-8"?>
<sst xmlns="http://schemas.openxmlformats.org/spreadsheetml/2006/main" count="88" uniqueCount="29">
  <si>
    <t>State</t>
  </si>
  <si>
    <t>Andhra Pradesh</t>
  </si>
  <si>
    <t>Arunachal Pradesh</t>
  </si>
  <si>
    <t>Assam</t>
  </si>
  <si>
    <t>Bihar</t>
  </si>
  <si>
    <t>Chhattisgarh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</si>
  <si>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</si>
  <si>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</si>
  <si>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</si>
  <si>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</si>
  <si>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</si>
  <si>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</si>
  <si>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</si>
  <si>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</si>
  <si>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</si>
  <si>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</si>
  <si>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</si>
  <si>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</si>
  <si>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</si>
  <si>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</si>
  <si>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</si>
  <si>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</si>
  <si>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</si>
  <si>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</si>
  <si>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West Bengal</t>
  </si>
  <si>
    <t>Gujarat</t>
  </si>
  <si>
    <t>Top 5 State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</si>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</sst>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303030"/>
      <name val="Google Sans Text"/>
    </font>
    <font>
      <b/>
      <sz val="8"/>
      <color rgb="FF303030"/>
      <name val="Google Sans Text"/>
    </font>
    <font>
      <sz val="11"/>
      <color rgb="FF303030"/>
      <name val="Calibri"/>
      <family val="2"/>
    </font>
    <font>
      <sz val="11"/>
      <color rgb="FF30303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8"/>
      <color rgb="FF303030"/>
      <name val="Google Sans Text"/>
    </font>
    <font>
      <sz val="11"/>
      <color theme="1"/>
      <name val="Cambria"/>
      <family val="1"/>
    </font>
    <font>
      <sz val="11"/>
      <color rgb="FF30303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6" fillId="0" borderId="1" xfId="0" applyFont="1" applyBorder="1"/>
    <xf numFmtId="0" fontId="5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8" fillId="0" borderId="1" xfId="0" applyFont="1" applyBorder="1"/>
    <xf numFmtId="0" fontId="6" fillId="0" borderId="2" xfId="0" applyFont="1" applyBorder="1"/>
    <xf numFmtId="0" fontId="1" fillId="0" borderId="0" xfId="0" applyFont="1" applyAlignment="1">
      <alignment vertical="center" wrapText="1"/>
    </xf>
    <xf numFmtId="0" fontId="1" fillId="0" borderId="3" xfId="0" applyFont="1" applyBorder="1"/>
    <xf numFmtId="4" fontId="2" fillId="2" borderId="0" xfId="0" applyNumberFormat="1" applyFont="1" applyFill="1" applyAlignment="1">
      <alignment vertical="center" wrapText="1"/>
    </xf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2005</a:t>
            </a:r>
            <a:r>
              <a:rPr lang="en-IN" baseline="0"/>
              <a:t> Producation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producation!$A$2:$A$26</c:f>
              <c:strCache>
                <c:ptCount val="25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Chhattisgarh</c:v>
                </c:pt>
                <c:pt idx="5">
                  <c:v>Gujarat</c:v>
                </c:pt>
                <c:pt idx="6">
                  <c:v>Himachal Pradesh</c:v>
                </c:pt>
                <c:pt idx="7">
                  <c:v>Jharkhand</c:v>
                </c:pt>
                <c:pt idx="8">
                  <c:v>Karnataka</c:v>
                </c:pt>
                <c:pt idx="9">
                  <c:v>Kerala</c:v>
                </c:pt>
                <c:pt idx="10">
                  <c:v>Madhya Pradesh</c:v>
                </c:pt>
                <c:pt idx="11">
                  <c:v>Maharashtra</c:v>
                </c:pt>
                <c:pt idx="12">
                  <c:v>Manipur</c:v>
                </c:pt>
                <c:pt idx="13">
                  <c:v>Meghalaya</c:v>
                </c:pt>
                <c:pt idx="14">
                  <c:v>Mizoram</c:v>
                </c:pt>
                <c:pt idx="15">
                  <c:v>Nagaland</c:v>
                </c:pt>
                <c:pt idx="16">
                  <c:v>Odisha</c:v>
                </c:pt>
                <c:pt idx="17">
                  <c:v>Punjab</c:v>
                </c:pt>
                <c:pt idx="18">
                  <c:v>Rajasthan</c:v>
                </c:pt>
                <c:pt idx="19">
                  <c:v>Sikkim</c:v>
                </c:pt>
                <c:pt idx="20">
                  <c:v>Tamil Nadu</c:v>
                </c:pt>
                <c:pt idx="21">
                  <c:v>Telangana</c:v>
                </c:pt>
                <c:pt idx="22">
                  <c:v>Tripura</c:v>
                </c:pt>
                <c:pt idx="23">
                  <c:v>Uttar Pradesh</c:v>
                </c:pt>
                <c:pt idx="24">
                  <c:v>West Bengal</c:v>
                </c:pt>
              </c:strCache>
            </c:strRef>
          </c:cat>
          <c:val>
            <c:numRef>
              <c:f>producation!$B$2:$B$26</c:f>
              <c:numCache>
                <c:formatCode>General</c:formatCode>
                <c:ptCount val="25"/>
                <c:pt idx="0">
                  <c:v>1438.7</c:v>
                </c:pt>
                <c:pt idx="1">
                  <c:v>10</c:v>
                </c:pt>
                <c:pt idx="2">
                  <c:v>610</c:v>
                </c:pt>
                <c:pt idx="3">
                  <c:v>920</c:v>
                </c:pt>
                <c:pt idx="4">
                  <c:v>210</c:v>
                </c:pt>
                <c:pt idx="5">
                  <c:v>1979</c:v>
                </c:pt>
                <c:pt idx="6">
                  <c:v>0.12</c:v>
                </c:pt>
                <c:pt idx="7">
                  <c:v>0.53</c:v>
                </c:pt>
                <c:pt idx="8">
                  <c:v>1345</c:v>
                </c:pt>
                <c:pt idx="9">
                  <c:v>420</c:v>
                </c:pt>
                <c:pt idx="10">
                  <c:v>750</c:v>
                </c:pt>
                <c:pt idx="11">
                  <c:v>4535</c:v>
                </c:pt>
                <c:pt idx="12">
                  <c:v>35</c:v>
                </c:pt>
                <c:pt idx="13">
                  <c:v>75</c:v>
                </c:pt>
                <c:pt idx="14">
                  <c:v>200</c:v>
                </c:pt>
                <c:pt idx="15">
                  <c:v>60</c:v>
                </c:pt>
                <c:pt idx="16">
                  <c:v>280</c:v>
                </c:pt>
                <c:pt idx="17">
                  <c:v>5</c:v>
                </c:pt>
                <c:pt idx="18">
                  <c:v>1</c:v>
                </c:pt>
                <c:pt idx="19">
                  <c:v>3</c:v>
                </c:pt>
                <c:pt idx="20">
                  <c:v>3462</c:v>
                </c:pt>
                <c:pt idx="21">
                  <c:v>300</c:v>
                </c:pt>
                <c:pt idx="22">
                  <c:v>95</c:v>
                </c:pt>
                <c:pt idx="23">
                  <c:v>1100</c:v>
                </c:pt>
                <c:pt idx="2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5-4EE0-814D-D3EB9592CB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00592928"/>
        <c:axId val="400590184"/>
      </c:barChart>
      <c:catAx>
        <c:axId val="40059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</a:t>
                </a:r>
              </a:p>
            </c:rich>
          </c:tx>
          <c:layout>
            <c:manualLayout>
              <c:xMode val="edge"/>
              <c:yMode val="edge"/>
              <c:x val="0.46728477690288717"/>
              <c:y val="0.888958151064450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590184"/>
        <c:crosses val="autoZero"/>
        <c:auto val="1"/>
        <c:lblAlgn val="ctr"/>
        <c:lblOffset val="100"/>
        <c:noMultiLvlLbl val="0"/>
      </c:catAx>
      <c:valAx>
        <c:axId val="40059018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Producation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65076917468649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4005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2010</a:t>
            </a:r>
            <a:r>
              <a:rPr lang="en-IN" baseline="0"/>
              <a:t> Producation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producation!$A$2:$A$26</c:f>
              <c:strCache>
                <c:ptCount val="25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Chhattisgarh</c:v>
                </c:pt>
                <c:pt idx="5">
                  <c:v>Gujarat</c:v>
                </c:pt>
                <c:pt idx="6">
                  <c:v>Himachal Pradesh</c:v>
                </c:pt>
                <c:pt idx="7">
                  <c:v>Jharkhand</c:v>
                </c:pt>
                <c:pt idx="8">
                  <c:v>Karnataka</c:v>
                </c:pt>
                <c:pt idx="9">
                  <c:v>Kerala</c:v>
                </c:pt>
                <c:pt idx="10">
                  <c:v>Madhya Pradesh</c:v>
                </c:pt>
                <c:pt idx="11">
                  <c:v>Maharashtra</c:v>
                </c:pt>
                <c:pt idx="12">
                  <c:v>Manipur</c:v>
                </c:pt>
                <c:pt idx="13">
                  <c:v>Meghalaya</c:v>
                </c:pt>
                <c:pt idx="14">
                  <c:v>Mizoram</c:v>
                </c:pt>
                <c:pt idx="15">
                  <c:v>Nagaland</c:v>
                </c:pt>
                <c:pt idx="16">
                  <c:v>Odisha</c:v>
                </c:pt>
                <c:pt idx="17">
                  <c:v>Punjab</c:v>
                </c:pt>
                <c:pt idx="18">
                  <c:v>Rajasthan</c:v>
                </c:pt>
                <c:pt idx="19">
                  <c:v>Sikkim</c:v>
                </c:pt>
                <c:pt idx="20">
                  <c:v>Tamil Nadu</c:v>
                </c:pt>
                <c:pt idx="21">
                  <c:v>Telangana</c:v>
                </c:pt>
                <c:pt idx="22">
                  <c:v>Tripura</c:v>
                </c:pt>
                <c:pt idx="23">
                  <c:v>Uttar Pradesh</c:v>
                </c:pt>
                <c:pt idx="24">
                  <c:v>West Bengal</c:v>
                </c:pt>
              </c:strCache>
            </c:strRef>
          </c:cat>
          <c:val>
            <c:numRef>
              <c:f>producation!$G$2:$G$26</c:f>
              <c:numCache>
                <c:formatCode>General</c:formatCode>
                <c:ptCount val="25"/>
                <c:pt idx="0">
                  <c:v>2774.8</c:v>
                </c:pt>
                <c:pt idx="1">
                  <c:v>16.46</c:v>
                </c:pt>
                <c:pt idx="2">
                  <c:v>723.6</c:v>
                </c:pt>
                <c:pt idx="3">
                  <c:v>1517.1</c:v>
                </c:pt>
                <c:pt idx="4">
                  <c:v>380.6</c:v>
                </c:pt>
                <c:pt idx="5">
                  <c:v>3978</c:v>
                </c:pt>
                <c:pt idx="6">
                  <c:v>0.35</c:v>
                </c:pt>
                <c:pt idx="7">
                  <c:v>1.19</c:v>
                </c:pt>
                <c:pt idx="8">
                  <c:v>2281.6</c:v>
                </c:pt>
                <c:pt idx="9">
                  <c:v>448.01499999999999</c:v>
                </c:pt>
                <c:pt idx="10">
                  <c:v>1719.6</c:v>
                </c:pt>
                <c:pt idx="11">
                  <c:v>4303</c:v>
                </c:pt>
                <c:pt idx="12">
                  <c:v>81.564999999999998</c:v>
                </c:pt>
                <c:pt idx="13">
                  <c:v>77.69</c:v>
                </c:pt>
                <c:pt idx="14">
                  <c:v>117.965</c:v>
                </c:pt>
                <c:pt idx="15">
                  <c:v>74</c:v>
                </c:pt>
                <c:pt idx="16">
                  <c:v>488.7</c:v>
                </c:pt>
                <c:pt idx="17">
                  <c:v>9.0549999999999997</c:v>
                </c:pt>
                <c:pt idx="18">
                  <c:v>0.82499999999999996</c:v>
                </c:pt>
                <c:pt idx="19">
                  <c:v>3.6</c:v>
                </c:pt>
                <c:pt idx="20">
                  <c:v>5239.1625000000004</c:v>
                </c:pt>
                <c:pt idx="21">
                  <c:v>123.675</c:v>
                </c:pt>
                <c:pt idx="22">
                  <c:v>102.97</c:v>
                </c:pt>
                <c:pt idx="23">
                  <c:v>1346.1</c:v>
                </c:pt>
                <c:pt idx="24">
                  <c:v>1010.1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A-4B5C-9EAC-78E9753957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07366280"/>
        <c:axId val="507363144"/>
      </c:barChart>
      <c:catAx>
        <c:axId val="50736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363144"/>
        <c:crosses val="autoZero"/>
        <c:auto val="1"/>
        <c:lblAlgn val="ctr"/>
        <c:lblOffset val="100"/>
        <c:noMultiLvlLbl val="0"/>
      </c:catAx>
      <c:valAx>
        <c:axId val="50736314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producation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55817658209390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07366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2015</a:t>
            </a:r>
            <a:r>
              <a:rPr lang="en-IN" baseline="0"/>
              <a:t> producation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producation!$A$2:$A$26</c:f>
              <c:strCache>
                <c:ptCount val="25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Chhattisgarh</c:v>
                </c:pt>
                <c:pt idx="5">
                  <c:v>Gujarat</c:v>
                </c:pt>
                <c:pt idx="6">
                  <c:v>Himachal Pradesh</c:v>
                </c:pt>
                <c:pt idx="7">
                  <c:v>Jharkhand</c:v>
                </c:pt>
                <c:pt idx="8">
                  <c:v>Karnataka</c:v>
                </c:pt>
                <c:pt idx="9">
                  <c:v>Kerala</c:v>
                </c:pt>
                <c:pt idx="10">
                  <c:v>Madhya Pradesh</c:v>
                </c:pt>
                <c:pt idx="11">
                  <c:v>Maharashtra</c:v>
                </c:pt>
                <c:pt idx="12">
                  <c:v>Manipur</c:v>
                </c:pt>
                <c:pt idx="13">
                  <c:v>Meghalaya</c:v>
                </c:pt>
                <c:pt idx="14">
                  <c:v>Mizoram</c:v>
                </c:pt>
                <c:pt idx="15">
                  <c:v>Nagaland</c:v>
                </c:pt>
                <c:pt idx="16">
                  <c:v>Odisha</c:v>
                </c:pt>
                <c:pt idx="17">
                  <c:v>Punjab</c:v>
                </c:pt>
                <c:pt idx="18">
                  <c:v>Rajasthan</c:v>
                </c:pt>
                <c:pt idx="19">
                  <c:v>Sikkim</c:v>
                </c:pt>
                <c:pt idx="20">
                  <c:v>Tamil Nadu</c:v>
                </c:pt>
                <c:pt idx="21">
                  <c:v>Telangana</c:v>
                </c:pt>
                <c:pt idx="22">
                  <c:v>Tripura</c:v>
                </c:pt>
                <c:pt idx="23">
                  <c:v>Uttar Pradesh</c:v>
                </c:pt>
                <c:pt idx="24">
                  <c:v>West Bengal</c:v>
                </c:pt>
              </c:strCache>
            </c:strRef>
          </c:cat>
          <c:val>
            <c:numRef>
              <c:f>producation!$L$2:$L$26</c:f>
              <c:numCache>
                <c:formatCode>General</c:formatCode>
                <c:ptCount val="25"/>
                <c:pt idx="0">
                  <c:v>3570.62</c:v>
                </c:pt>
                <c:pt idx="1">
                  <c:v>31.64</c:v>
                </c:pt>
                <c:pt idx="2">
                  <c:v>882.71</c:v>
                </c:pt>
                <c:pt idx="3">
                  <c:v>1535.3</c:v>
                </c:pt>
                <c:pt idx="4">
                  <c:v>587.41999999999996</c:v>
                </c:pt>
                <c:pt idx="5">
                  <c:v>4185.5200000000004</c:v>
                </c:pt>
                <c:pt idx="6">
                  <c:v>0.42</c:v>
                </c:pt>
                <c:pt idx="7">
                  <c:v>33.28</c:v>
                </c:pt>
                <c:pt idx="8">
                  <c:v>2370.9499999999998</c:v>
                </c:pt>
                <c:pt idx="9">
                  <c:v>1292.4100000000001</c:v>
                </c:pt>
                <c:pt idx="10">
                  <c:v>1758.05</c:v>
                </c:pt>
                <c:pt idx="11">
                  <c:v>3025.15</c:v>
                </c:pt>
                <c:pt idx="12">
                  <c:v>93.95</c:v>
                </c:pt>
                <c:pt idx="13">
                  <c:v>88.71</c:v>
                </c:pt>
                <c:pt idx="14">
                  <c:v>141.03</c:v>
                </c:pt>
                <c:pt idx="15">
                  <c:v>108.51</c:v>
                </c:pt>
                <c:pt idx="16">
                  <c:v>462.71</c:v>
                </c:pt>
                <c:pt idx="17">
                  <c:v>6.43</c:v>
                </c:pt>
                <c:pt idx="18">
                  <c:v>0.41</c:v>
                </c:pt>
                <c:pt idx="19">
                  <c:v>3.56</c:v>
                </c:pt>
                <c:pt idx="20">
                  <c:v>4331.6499999999996</c:v>
                </c:pt>
                <c:pt idx="21">
                  <c:v>183.7</c:v>
                </c:pt>
                <c:pt idx="22">
                  <c:v>153.62</c:v>
                </c:pt>
                <c:pt idx="23">
                  <c:v>3061.21</c:v>
                </c:pt>
                <c:pt idx="24">
                  <c:v>1172.3399999999999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B-4233-B386-1F35C40A5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553824"/>
        <c:axId val="507552648"/>
      </c:barChart>
      <c:catAx>
        <c:axId val="507553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52648"/>
        <c:crosses val="autoZero"/>
        <c:auto val="1"/>
        <c:lblAlgn val="ctr"/>
        <c:lblOffset val="100"/>
        <c:noMultiLvlLbl val="0"/>
      </c:catAx>
      <c:valAx>
        <c:axId val="507552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producation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6082531350247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5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2020</a:t>
            </a:r>
            <a:r>
              <a:rPr lang="en-IN" baseline="0"/>
              <a:t> producation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producation!$A$2:$A$26</c:f>
              <c:strCache>
                <c:ptCount val="25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Chhattisgarh</c:v>
                </c:pt>
                <c:pt idx="5">
                  <c:v>Gujarat</c:v>
                </c:pt>
                <c:pt idx="6">
                  <c:v>Himachal Pradesh</c:v>
                </c:pt>
                <c:pt idx="7">
                  <c:v>Jharkhand</c:v>
                </c:pt>
                <c:pt idx="8">
                  <c:v>Karnataka</c:v>
                </c:pt>
                <c:pt idx="9">
                  <c:v>Kerala</c:v>
                </c:pt>
                <c:pt idx="10">
                  <c:v>Madhya Pradesh</c:v>
                </c:pt>
                <c:pt idx="11">
                  <c:v>Maharashtra</c:v>
                </c:pt>
                <c:pt idx="12">
                  <c:v>Manipur</c:v>
                </c:pt>
                <c:pt idx="13">
                  <c:v>Meghalaya</c:v>
                </c:pt>
                <c:pt idx="14">
                  <c:v>Mizoram</c:v>
                </c:pt>
                <c:pt idx="15">
                  <c:v>Nagaland</c:v>
                </c:pt>
                <c:pt idx="16">
                  <c:v>Odisha</c:v>
                </c:pt>
                <c:pt idx="17">
                  <c:v>Punjab</c:v>
                </c:pt>
                <c:pt idx="18">
                  <c:v>Rajasthan</c:v>
                </c:pt>
                <c:pt idx="19">
                  <c:v>Sikkim</c:v>
                </c:pt>
                <c:pt idx="20">
                  <c:v>Tamil Nadu</c:v>
                </c:pt>
                <c:pt idx="21">
                  <c:v>Telangana</c:v>
                </c:pt>
                <c:pt idx="22">
                  <c:v>Tripura</c:v>
                </c:pt>
                <c:pt idx="23">
                  <c:v>Uttar Pradesh</c:v>
                </c:pt>
                <c:pt idx="24">
                  <c:v>West Bengal</c:v>
                </c:pt>
              </c:strCache>
            </c:strRef>
          </c:cat>
          <c:val>
            <c:numRef>
              <c:f>producation!$Q$2:$Q$26</c:f>
              <c:numCache>
                <c:formatCode>General</c:formatCode>
                <c:ptCount val="25"/>
                <c:pt idx="0">
                  <c:v>5834.7</c:v>
                </c:pt>
                <c:pt idx="1">
                  <c:v>14.03</c:v>
                </c:pt>
                <c:pt idx="2">
                  <c:v>909.83</c:v>
                </c:pt>
                <c:pt idx="3">
                  <c:v>1612.56</c:v>
                </c:pt>
                <c:pt idx="4">
                  <c:v>585.71</c:v>
                </c:pt>
                <c:pt idx="5">
                  <c:v>3907.21</c:v>
                </c:pt>
                <c:pt idx="6">
                  <c:v>0.12</c:v>
                </c:pt>
                <c:pt idx="7">
                  <c:v>32.869999999999997</c:v>
                </c:pt>
                <c:pt idx="8">
                  <c:v>3367.67</c:v>
                </c:pt>
                <c:pt idx="9">
                  <c:v>957.05</c:v>
                </c:pt>
                <c:pt idx="10">
                  <c:v>2025.46</c:v>
                </c:pt>
                <c:pt idx="11">
                  <c:v>4223.05</c:v>
                </c:pt>
                <c:pt idx="12">
                  <c:v>88.5</c:v>
                </c:pt>
                <c:pt idx="13">
                  <c:v>95.01</c:v>
                </c:pt>
                <c:pt idx="14">
                  <c:v>140.5</c:v>
                </c:pt>
                <c:pt idx="15">
                  <c:v>87.28</c:v>
                </c:pt>
                <c:pt idx="16">
                  <c:v>502.83</c:v>
                </c:pt>
                <c:pt idx="17">
                  <c:v>9.0500000000000007</c:v>
                </c:pt>
                <c:pt idx="18">
                  <c:v>0.41</c:v>
                </c:pt>
                <c:pt idx="19">
                  <c:v>5.53</c:v>
                </c:pt>
                <c:pt idx="20">
                  <c:v>3895.65</c:v>
                </c:pt>
                <c:pt idx="21">
                  <c:v>100.12</c:v>
                </c:pt>
                <c:pt idx="22">
                  <c:v>111.11</c:v>
                </c:pt>
                <c:pt idx="23">
                  <c:v>3387.51</c:v>
                </c:pt>
                <c:pt idx="24">
                  <c:v>1116.4100000000001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3-48EB-95E8-408798D5C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546768"/>
        <c:axId val="507550688"/>
      </c:barChart>
      <c:catAx>
        <c:axId val="5075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50688"/>
        <c:crosses val="autoZero"/>
        <c:auto val="1"/>
        <c:lblAlgn val="ctr"/>
        <c:lblOffset val="100"/>
        <c:noMultiLvlLbl val="0"/>
      </c:catAx>
      <c:valAx>
        <c:axId val="50755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producation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70084572761738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4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2024</a:t>
            </a:r>
            <a:r>
              <a:rPr lang="en-IN" baseline="0"/>
              <a:t> producation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producation!$A$2:$A$26</c:f>
              <c:strCache>
                <c:ptCount val="25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Chhattisgarh</c:v>
                </c:pt>
                <c:pt idx="5">
                  <c:v>Gujarat</c:v>
                </c:pt>
                <c:pt idx="6">
                  <c:v>Himachal Pradesh</c:v>
                </c:pt>
                <c:pt idx="7">
                  <c:v>Jharkhand</c:v>
                </c:pt>
                <c:pt idx="8">
                  <c:v>Karnataka</c:v>
                </c:pt>
                <c:pt idx="9">
                  <c:v>Kerala</c:v>
                </c:pt>
                <c:pt idx="10">
                  <c:v>Madhya Pradesh</c:v>
                </c:pt>
                <c:pt idx="11">
                  <c:v>Maharashtra</c:v>
                </c:pt>
                <c:pt idx="12">
                  <c:v>Manipur</c:v>
                </c:pt>
                <c:pt idx="13">
                  <c:v>Meghalaya</c:v>
                </c:pt>
                <c:pt idx="14">
                  <c:v>Mizoram</c:v>
                </c:pt>
                <c:pt idx="15">
                  <c:v>Nagaland</c:v>
                </c:pt>
                <c:pt idx="16">
                  <c:v>Odisha</c:v>
                </c:pt>
                <c:pt idx="17">
                  <c:v>Punjab</c:v>
                </c:pt>
                <c:pt idx="18">
                  <c:v>Rajasthan</c:v>
                </c:pt>
                <c:pt idx="19">
                  <c:v>Sikkim</c:v>
                </c:pt>
                <c:pt idx="20">
                  <c:v>Tamil Nadu</c:v>
                </c:pt>
                <c:pt idx="21">
                  <c:v>Telangana</c:v>
                </c:pt>
                <c:pt idx="22">
                  <c:v>Tripura</c:v>
                </c:pt>
                <c:pt idx="23">
                  <c:v>Uttar Pradesh</c:v>
                </c:pt>
                <c:pt idx="24">
                  <c:v>West Bengal</c:v>
                </c:pt>
              </c:strCache>
            </c:strRef>
          </c:cat>
          <c:val>
            <c:numRef>
              <c:f>producation!$U$2:$U$26</c:f>
              <c:numCache>
                <c:formatCode>General</c:formatCode>
                <c:ptCount val="25"/>
                <c:pt idx="0">
                  <c:v>6734.44</c:v>
                </c:pt>
                <c:pt idx="1">
                  <c:v>14.49</c:v>
                </c:pt>
                <c:pt idx="2">
                  <c:v>1022.51</c:v>
                </c:pt>
                <c:pt idx="3">
                  <c:v>1920.96</c:v>
                </c:pt>
                <c:pt idx="4">
                  <c:v>576.47</c:v>
                </c:pt>
                <c:pt idx="5">
                  <c:v>4025.28</c:v>
                </c:pt>
                <c:pt idx="6">
                  <c:v>0.21</c:v>
                </c:pt>
                <c:pt idx="7">
                  <c:v>42.38</c:v>
                </c:pt>
                <c:pt idx="8">
                  <c:v>1248.8900000000001</c:v>
                </c:pt>
                <c:pt idx="9">
                  <c:v>485.2</c:v>
                </c:pt>
                <c:pt idx="10">
                  <c:v>2463.36</c:v>
                </c:pt>
                <c:pt idx="11">
                  <c:v>7229.86</c:v>
                </c:pt>
                <c:pt idx="12">
                  <c:v>81.41</c:v>
                </c:pt>
                <c:pt idx="13">
                  <c:v>102.88</c:v>
                </c:pt>
                <c:pt idx="14">
                  <c:v>140.5</c:v>
                </c:pt>
                <c:pt idx="15">
                  <c:v>95.27</c:v>
                </c:pt>
                <c:pt idx="16">
                  <c:v>508.67</c:v>
                </c:pt>
                <c:pt idx="17">
                  <c:v>14.69</c:v>
                </c:pt>
                <c:pt idx="18">
                  <c:v>0.35</c:v>
                </c:pt>
                <c:pt idx="19">
                  <c:v>5.56</c:v>
                </c:pt>
                <c:pt idx="20">
                  <c:v>4905.4799999999996</c:v>
                </c:pt>
                <c:pt idx="21">
                  <c:v>74.680000000000007</c:v>
                </c:pt>
                <c:pt idx="22">
                  <c:v>114.34</c:v>
                </c:pt>
                <c:pt idx="23">
                  <c:v>4757.84</c:v>
                </c:pt>
                <c:pt idx="24">
                  <c:v>1434.15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5-4A48-9BC6-4C23BA6B2E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06459728"/>
        <c:axId val="506458944"/>
      </c:barChart>
      <c:catAx>
        <c:axId val="50645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458944"/>
        <c:crosses val="autoZero"/>
        <c:auto val="1"/>
        <c:lblAlgn val="ctr"/>
        <c:lblOffset val="100"/>
        <c:noMultiLvlLbl val="0"/>
      </c:catAx>
      <c:valAx>
        <c:axId val="50645894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producation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65076917468649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0645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7620</xdr:rowOff>
    </xdr:from>
    <xdr:to>
      <xdr:col>8</xdr:col>
      <xdr:colOff>281940</xdr:colOff>
      <xdr:row>45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</xdr:colOff>
      <xdr:row>31</xdr:row>
      <xdr:rowOff>7620</xdr:rowOff>
    </xdr:from>
    <xdr:to>
      <xdr:col>16</xdr:col>
      <xdr:colOff>304800</xdr:colOff>
      <xdr:row>45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</xdr:colOff>
      <xdr:row>47</xdr:row>
      <xdr:rowOff>15240</xdr:rowOff>
    </xdr:from>
    <xdr:to>
      <xdr:col>8</xdr:col>
      <xdr:colOff>289560</xdr:colOff>
      <xdr:row>62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586740</xdr:colOff>
      <xdr:row>30</xdr:row>
      <xdr:rowOff>160020</xdr:rowOff>
    </xdr:from>
    <xdr:to>
      <xdr:col>24</xdr:col>
      <xdr:colOff>327660</xdr:colOff>
      <xdr:row>45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601980</xdr:colOff>
      <xdr:row>47</xdr:row>
      <xdr:rowOff>0</xdr:rowOff>
    </xdr:from>
    <xdr:to>
      <xdr:col>16</xdr:col>
      <xdr:colOff>289560</xdr:colOff>
      <xdr:row>62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541020</xdr:colOff>
      <xdr:row>0</xdr:row>
      <xdr:rowOff>175260</xdr:rowOff>
    </xdr:from>
    <xdr:to>
      <xdr:col>11</xdr:col>
      <xdr:colOff>480060</xdr:colOff>
      <xdr:row>19</xdr:row>
      <xdr:rowOff>83820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75260"/>
          <a:ext cx="5486400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5"/>
  <sheetViews>
    <sheetView tabSelected="1" workbookViewId="0">
      <selection activeCell="L13" sqref="L13"/>
    </sheetView>
  </sheetViews>
  <sheetFormatPr defaultRowHeight="14.4"/>
  <cols>
    <col min="1" max="1" width="18" customWidth="1"/>
    <col min="2" max="4" width="9" bestFit="1" customWidth="1"/>
    <col min="16" max="18" width="9" bestFit="1" customWidth="1"/>
    <col min="19" max="19" width="8" bestFit="1" customWidth="1"/>
    <col min="40" max="40" width="8.88671875" customWidth="1"/>
  </cols>
  <sheetData>
    <row r="1" spans="1:21" s="6" customFormat="1">
      <c r="A1" s="5" t="s">
        <v>0</v>
      </c>
      <c r="B1" s="5">
        <v>2005</v>
      </c>
      <c r="C1" s="5">
        <v>2006</v>
      </c>
      <c r="D1" s="5">
        <v>2007</v>
      </c>
      <c r="E1" s="5">
        <v>2008</v>
      </c>
      <c r="F1" s="5">
        <v>2009</v>
      </c>
      <c r="G1" s="5">
        <v>2010</v>
      </c>
      <c r="H1" s="5">
        <v>2011</v>
      </c>
      <c r="I1" s="5">
        <v>2012</v>
      </c>
      <c r="J1" s="5">
        <v>2013</v>
      </c>
      <c r="K1" s="5">
        <v>2014</v>
      </c>
      <c r="L1" s="5">
        <v>2015</v>
      </c>
      <c r="M1" s="5">
        <v>2016</v>
      </c>
      <c r="N1" s="5">
        <v>2017</v>
      </c>
      <c r="O1" s="5">
        <v>2018</v>
      </c>
      <c r="P1" s="5">
        <v>2019</v>
      </c>
      <c r="Q1" s="5">
        <v>2020</v>
      </c>
      <c r="R1" s="5">
        <v>2021</v>
      </c>
      <c r="S1" s="23">
        <v>2022</v>
      </c>
      <c r="T1" s="23">
        <v>2023</v>
      </c>
      <c r="U1" s="6">
        <v>2024</v>
      </c>
    </row>
    <row r="2" spans="1:21" ht="15.6">
      <c r="A2" s="7" t="s">
        <v>1</v>
      </c>
      <c r="B2" s="11">
        <v>1438.7</v>
      </c>
      <c r="C2" s="11">
        <v>1528.7</v>
      </c>
      <c r="D2" s="11">
        <v>2432.1</v>
      </c>
      <c r="E2" s="4">
        <v>2804</v>
      </c>
      <c r="F2" s="4">
        <v>2819.6</v>
      </c>
      <c r="G2" s="4">
        <v>2774.8</v>
      </c>
      <c r="H2" s="4">
        <v>2899.6</v>
      </c>
      <c r="I2" s="4">
        <v>3242.8</v>
      </c>
      <c r="J2" s="3">
        <v>3166.9</v>
      </c>
      <c r="K2" s="1">
        <v>2949.03</v>
      </c>
      <c r="L2" s="8">
        <v>3570.62</v>
      </c>
      <c r="M2" s="8">
        <v>4143.55</v>
      </c>
      <c r="N2" s="4">
        <v>5000.07</v>
      </c>
      <c r="O2" s="4">
        <v>5601.31</v>
      </c>
      <c r="P2" s="4">
        <v>5861.7</v>
      </c>
      <c r="Q2" s="4">
        <v>5834.7</v>
      </c>
      <c r="R2" s="8">
        <v>5684.47</v>
      </c>
      <c r="S2" s="11">
        <v>6116.94</v>
      </c>
      <c r="T2" s="11">
        <v>5830.93</v>
      </c>
      <c r="U2" s="11">
        <v>6734.44</v>
      </c>
    </row>
    <row r="3" spans="1:21" ht="15.6">
      <c r="A3" s="7" t="s">
        <v>2</v>
      </c>
      <c r="B3" s="11">
        <v>10</v>
      </c>
      <c r="C3" s="11">
        <v>12.6</v>
      </c>
      <c r="D3" s="11">
        <v>13.6</v>
      </c>
      <c r="E3" s="4">
        <v>15.46</v>
      </c>
      <c r="F3" s="4">
        <v>16.37</v>
      </c>
      <c r="G3" s="4">
        <v>16.46</v>
      </c>
      <c r="H3" s="4">
        <v>17.28</v>
      </c>
      <c r="I3" s="4">
        <v>18.190000000000001</v>
      </c>
      <c r="J3" s="3">
        <v>19.100000000000001</v>
      </c>
      <c r="K3" s="2">
        <v>20</v>
      </c>
      <c r="L3" s="8">
        <v>31.64</v>
      </c>
      <c r="M3" s="8">
        <v>31.96</v>
      </c>
      <c r="N3" s="4">
        <v>14.08</v>
      </c>
      <c r="O3" s="4">
        <v>14.03</v>
      </c>
      <c r="P3" s="4">
        <v>14.03</v>
      </c>
      <c r="Q3" s="4">
        <v>14.03</v>
      </c>
      <c r="R3" s="8">
        <v>16.29</v>
      </c>
      <c r="S3" s="11">
        <v>16.29</v>
      </c>
      <c r="T3" s="11">
        <v>14.49</v>
      </c>
      <c r="U3" s="11">
        <v>14.49</v>
      </c>
    </row>
    <row r="4" spans="1:21" ht="15.6">
      <c r="A4" s="7" t="s">
        <v>3</v>
      </c>
      <c r="B4" s="11">
        <v>610</v>
      </c>
      <c r="C4" s="11">
        <v>699.4</v>
      </c>
      <c r="D4" s="11">
        <v>627.79999999999995</v>
      </c>
      <c r="E4" s="4">
        <v>852.6</v>
      </c>
      <c r="F4" s="4">
        <v>805.2</v>
      </c>
      <c r="G4" s="4">
        <v>723.6</v>
      </c>
      <c r="H4" s="4">
        <v>745.3</v>
      </c>
      <c r="I4" s="4">
        <v>837.02</v>
      </c>
      <c r="J4" s="3">
        <v>857.72</v>
      </c>
      <c r="K4" s="2">
        <v>907.11</v>
      </c>
      <c r="L4" s="8">
        <v>882.71</v>
      </c>
      <c r="M4" s="8">
        <v>979.34</v>
      </c>
      <c r="N4" s="4">
        <v>913.27</v>
      </c>
      <c r="O4" s="4">
        <v>917.79</v>
      </c>
      <c r="P4" s="4">
        <v>906.68</v>
      </c>
      <c r="Q4" s="4">
        <v>909.83</v>
      </c>
      <c r="R4" s="8">
        <v>1108</v>
      </c>
      <c r="S4" s="11">
        <v>1115.45</v>
      </c>
      <c r="T4" s="11">
        <v>1022.51</v>
      </c>
      <c r="U4" s="11">
        <v>1022.51</v>
      </c>
    </row>
    <row r="5" spans="1:21" ht="15.6">
      <c r="A5" s="7" t="s">
        <v>4</v>
      </c>
      <c r="B5" s="11">
        <v>920</v>
      </c>
      <c r="C5" s="11">
        <v>959.3</v>
      </c>
      <c r="D5" s="11">
        <v>1276.8</v>
      </c>
      <c r="E5" s="4">
        <v>1373.6</v>
      </c>
      <c r="F5" s="4">
        <v>1435.3</v>
      </c>
      <c r="G5" s="4">
        <v>1517.1</v>
      </c>
      <c r="H5" s="4">
        <v>1580</v>
      </c>
      <c r="I5" s="4">
        <v>1702.41</v>
      </c>
      <c r="J5" s="3">
        <v>1435.78</v>
      </c>
      <c r="K5" s="2">
        <v>1526.5</v>
      </c>
      <c r="L5" s="8">
        <v>1535.3</v>
      </c>
      <c r="M5" s="8">
        <v>1550.65</v>
      </c>
      <c r="N5" s="4">
        <v>1396.39</v>
      </c>
      <c r="O5" s="4">
        <v>1591.58</v>
      </c>
      <c r="P5" s="4">
        <v>1370.55</v>
      </c>
      <c r="Q5" s="4">
        <v>1612.56</v>
      </c>
      <c r="R5" s="8">
        <v>1968.21</v>
      </c>
      <c r="S5" s="11">
        <v>2004.27</v>
      </c>
      <c r="T5" s="11">
        <v>1919.98</v>
      </c>
      <c r="U5" s="11">
        <v>1920.96</v>
      </c>
    </row>
    <row r="6" spans="1:21" ht="15.6">
      <c r="A6" s="7" t="s">
        <v>5</v>
      </c>
      <c r="B6" s="11">
        <v>210</v>
      </c>
      <c r="C6" s="11">
        <v>235.4</v>
      </c>
      <c r="D6" s="11">
        <v>310.10000000000002</v>
      </c>
      <c r="E6" s="4">
        <v>351.39</v>
      </c>
      <c r="F6" s="4">
        <v>372.06</v>
      </c>
      <c r="G6" s="4">
        <v>380.6</v>
      </c>
      <c r="H6" s="4">
        <v>392.73</v>
      </c>
      <c r="I6" s="4">
        <v>413.4</v>
      </c>
      <c r="J6" s="3">
        <v>498.81</v>
      </c>
      <c r="K6" s="2">
        <v>532.64</v>
      </c>
      <c r="L6" s="8">
        <v>587.41999999999996</v>
      </c>
      <c r="M6" s="8">
        <v>618.91999999999996</v>
      </c>
      <c r="N6" s="4">
        <v>745.78</v>
      </c>
      <c r="O6" s="4">
        <v>615.03</v>
      </c>
      <c r="P6" s="4">
        <v>602.72</v>
      </c>
      <c r="Q6" s="4">
        <v>585.71</v>
      </c>
      <c r="R6" s="8">
        <v>587.15</v>
      </c>
      <c r="S6" s="11">
        <v>590.15</v>
      </c>
      <c r="T6" s="11">
        <v>576.47</v>
      </c>
      <c r="U6" s="11">
        <v>576.47</v>
      </c>
    </row>
    <row r="7" spans="1:21" ht="15.6">
      <c r="A7" s="7" t="s">
        <v>25</v>
      </c>
      <c r="B7" s="11">
        <v>1979</v>
      </c>
      <c r="C7" s="11">
        <v>2498.8000000000002</v>
      </c>
      <c r="D7" s="11">
        <v>3392.6</v>
      </c>
      <c r="E7" s="4">
        <v>3571.6</v>
      </c>
      <c r="F7" s="4">
        <v>3779.8</v>
      </c>
      <c r="G7" s="4">
        <v>3978</v>
      </c>
      <c r="H7" s="4">
        <v>4047.8</v>
      </c>
      <c r="I7" s="4">
        <v>4523.49</v>
      </c>
      <c r="J7" s="3">
        <v>4225.49</v>
      </c>
      <c r="K7" s="2">
        <v>4225.49</v>
      </c>
      <c r="L7" s="8">
        <v>4185.5200000000004</v>
      </c>
      <c r="M7" s="8">
        <v>4185.5200000000004</v>
      </c>
      <c r="N7" s="4">
        <v>4472.32</v>
      </c>
      <c r="O7" s="4">
        <v>4610.6099999999997</v>
      </c>
      <c r="P7" s="4">
        <v>4627.5200000000004</v>
      </c>
      <c r="Q7" s="4">
        <v>3907.21</v>
      </c>
      <c r="R7" s="8">
        <v>3971.56</v>
      </c>
      <c r="S7" s="11">
        <v>3994.55</v>
      </c>
      <c r="T7" s="11">
        <v>4010.72</v>
      </c>
      <c r="U7" s="11">
        <v>4025.28</v>
      </c>
    </row>
    <row r="8" spans="1:21" ht="15.6">
      <c r="A8" s="7" t="s">
        <v>6</v>
      </c>
      <c r="B8" s="11">
        <v>0.12</v>
      </c>
      <c r="C8" s="11">
        <v>0.12</v>
      </c>
      <c r="D8" s="11">
        <v>0.28999999999999998</v>
      </c>
      <c r="E8" s="4">
        <v>0.33</v>
      </c>
      <c r="F8" s="4">
        <v>0.35</v>
      </c>
      <c r="G8" s="4">
        <v>0.35</v>
      </c>
      <c r="H8" s="4">
        <v>0.37</v>
      </c>
      <c r="I8" s="4">
        <v>0.39</v>
      </c>
      <c r="J8" s="3">
        <v>0.28999999999999998</v>
      </c>
      <c r="K8" s="2">
        <v>0.42</v>
      </c>
      <c r="L8" s="8">
        <v>0.42</v>
      </c>
      <c r="M8" s="8">
        <v>0.35</v>
      </c>
      <c r="N8" s="4">
        <v>0.35</v>
      </c>
      <c r="O8" s="4">
        <v>0.25</v>
      </c>
      <c r="P8" s="4">
        <v>0.18</v>
      </c>
      <c r="Q8" s="4">
        <v>0.12</v>
      </c>
      <c r="R8" s="8">
        <v>0.1</v>
      </c>
      <c r="S8" s="11">
        <v>0.1</v>
      </c>
      <c r="T8" s="11">
        <v>0.11</v>
      </c>
      <c r="U8" s="11">
        <v>0.21</v>
      </c>
    </row>
    <row r="9" spans="1:21" ht="15.6">
      <c r="A9" s="7" t="s">
        <v>7</v>
      </c>
      <c r="B9" s="11">
        <v>0.53</v>
      </c>
      <c r="C9" s="11">
        <v>0.66</v>
      </c>
      <c r="D9" s="11">
        <v>0.95</v>
      </c>
      <c r="E9" s="4">
        <v>1.07</v>
      </c>
      <c r="F9" s="4">
        <v>1.1299999999999999</v>
      </c>
      <c r="G9" s="4">
        <v>1.19</v>
      </c>
      <c r="H9" s="4">
        <v>1.2</v>
      </c>
      <c r="I9" s="4">
        <v>1.26</v>
      </c>
      <c r="J9" s="3">
        <v>1.29</v>
      </c>
      <c r="K9" s="2">
        <v>1.3</v>
      </c>
      <c r="L9" s="8">
        <v>33.28</v>
      </c>
      <c r="M9" s="8">
        <v>31.47</v>
      </c>
      <c r="N9" s="4">
        <v>32.06</v>
      </c>
      <c r="O9" s="4">
        <v>32.75</v>
      </c>
      <c r="P9" s="4">
        <v>31.11</v>
      </c>
      <c r="Q9" s="4">
        <v>32.869999999999997</v>
      </c>
      <c r="R9" s="8">
        <v>33.07</v>
      </c>
      <c r="S9" s="11">
        <v>41.02</v>
      </c>
      <c r="T9" s="11">
        <v>42.08</v>
      </c>
      <c r="U9" s="11">
        <v>42.38</v>
      </c>
    </row>
    <row r="10" spans="1:21" ht="15.6">
      <c r="A10" s="7" t="s">
        <v>8</v>
      </c>
      <c r="B10" s="11">
        <v>1345</v>
      </c>
      <c r="C10" s="11">
        <v>1399.1</v>
      </c>
      <c r="D10" s="11">
        <v>1897.2</v>
      </c>
      <c r="E10" s="4">
        <v>1918.8</v>
      </c>
      <c r="F10" s="4">
        <v>2132.3000000000002</v>
      </c>
      <c r="G10" s="4">
        <v>2281.6</v>
      </c>
      <c r="H10" s="4">
        <v>2351.5</v>
      </c>
      <c r="I10" s="4">
        <v>2529.6</v>
      </c>
      <c r="J10" s="3">
        <v>2675.63</v>
      </c>
      <c r="K10" s="2">
        <v>2710.84</v>
      </c>
      <c r="L10" s="8">
        <v>2370.9499999999998</v>
      </c>
      <c r="M10" s="8">
        <v>2489.5</v>
      </c>
      <c r="N10" s="4">
        <v>2328.9</v>
      </c>
      <c r="O10" s="4">
        <v>2146.7199999999998</v>
      </c>
      <c r="P10" s="4">
        <v>2613.81</v>
      </c>
      <c r="Q10" s="4">
        <v>3367.67</v>
      </c>
      <c r="R10" s="8">
        <v>3430.22</v>
      </c>
      <c r="S10" s="11">
        <v>2973.3</v>
      </c>
      <c r="T10" s="11">
        <v>3121.97</v>
      </c>
      <c r="U10" s="11">
        <v>1248.8900000000001</v>
      </c>
    </row>
    <row r="11" spans="1:21" ht="15.6">
      <c r="A11" s="7" t="s">
        <v>9</v>
      </c>
      <c r="B11" s="11">
        <v>420</v>
      </c>
      <c r="C11" s="11">
        <v>443.1</v>
      </c>
      <c r="D11" s="11">
        <v>386.7</v>
      </c>
      <c r="E11" s="4">
        <v>472.9</v>
      </c>
      <c r="F11" s="4">
        <v>406.2</v>
      </c>
      <c r="G11" s="4">
        <f>(F11+H11)/2</f>
        <v>448.01499999999999</v>
      </c>
      <c r="H11" s="4">
        <v>489.83</v>
      </c>
      <c r="I11" s="4">
        <v>515.61</v>
      </c>
      <c r="J11" s="3">
        <v>528.21</v>
      </c>
      <c r="K11" s="2">
        <v>1160.25</v>
      </c>
      <c r="L11" s="8">
        <v>1292.4100000000001</v>
      </c>
      <c r="M11" s="8">
        <v>1224.1300000000001</v>
      </c>
      <c r="N11" s="4">
        <v>1119.1600000000001</v>
      </c>
      <c r="O11" s="4">
        <v>807.15</v>
      </c>
      <c r="P11" s="4">
        <v>955.33</v>
      </c>
      <c r="Q11" s="4">
        <v>957.05</v>
      </c>
      <c r="R11" s="8">
        <v>871.26</v>
      </c>
      <c r="S11" s="11">
        <v>878.14</v>
      </c>
      <c r="T11" s="11">
        <v>477.52</v>
      </c>
      <c r="U11" s="11">
        <v>485.2</v>
      </c>
    </row>
    <row r="12" spans="1:21" ht="15.6">
      <c r="A12" s="7" t="s">
        <v>10</v>
      </c>
      <c r="B12" s="11">
        <v>750</v>
      </c>
      <c r="C12" s="11">
        <v>615.6</v>
      </c>
      <c r="D12" s="11">
        <v>1275.8</v>
      </c>
      <c r="E12" s="4">
        <v>1498</v>
      </c>
      <c r="F12" s="4">
        <v>1459.8</v>
      </c>
      <c r="G12" s="4">
        <v>1719.6</v>
      </c>
      <c r="H12" s="4">
        <v>1379.2</v>
      </c>
      <c r="I12" s="4">
        <v>1701</v>
      </c>
      <c r="J12" s="3">
        <v>1735</v>
      </c>
      <c r="K12" s="2">
        <v>1813</v>
      </c>
      <c r="L12" s="8">
        <v>1758.05</v>
      </c>
      <c r="M12" s="8">
        <v>1646.89</v>
      </c>
      <c r="N12" s="4">
        <v>1834.03</v>
      </c>
      <c r="O12" s="4">
        <v>1853.03</v>
      </c>
      <c r="P12" s="4">
        <v>1847.64</v>
      </c>
      <c r="Q12" s="4">
        <v>2025.46</v>
      </c>
      <c r="R12" s="8">
        <v>2219.2800000000002</v>
      </c>
      <c r="S12" s="11">
        <v>2060.1999999999998</v>
      </c>
      <c r="T12" s="11">
        <v>2453.83</v>
      </c>
      <c r="U12" s="11">
        <v>2463.36</v>
      </c>
    </row>
    <row r="13" spans="1:21" ht="15.6">
      <c r="A13" s="7" t="s">
        <v>11</v>
      </c>
      <c r="B13" s="11">
        <v>4535</v>
      </c>
      <c r="C13" s="11">
        <v>4608.5</v>
      </c>
      <c r="D13" s="11">
        <v>2700</v>
      </c>
      <c r="E13" s="4">
        <v>4960</v>
      </c>
      <c r="F13" s="4">
        <f>(E13+G13)/2</f>
        <v>4631.5</v>
      </c>
      <c r="G13" s="4">
        <v>4303</v>
      </c>
      <c r="H13" s="4">
        <v>4315</v>
      </c>
      <c r="I13" s="4">
        <v>3600</v>
      </c>
      <c r="J13" s="3">
        <v>4830.6000000000004</v>
      </c>
      <c r="K13" s="2">
        <v>3557.97</v>
      </c>
      <c r="L13" s="8">
        <v>3025.15</v>
      </c>
      <c r="M13" s="8">
        <v>3072.49</v>
      </c>
      <c r="N13" s="4">
        <v>4209.2700000000004</v>
      </c>
      <c r="O13" s="4">
        <v>3562.4</v>
      </c>
      <c r="P13" s="4">
        <v>4153.6499999999996</v>
      </c>
      <c r="Q13" s="4">
        <v>4223.05</v>
      </c>
      <c r="R13" s="8">
        <v>4910.93</v>
      </c>
      <c r="S13" s="11">
        <v>5626.26</v>
      </c>
      <c r="T13" s="11">
        <v>6534.35</v>
      </c>
      <c r="U13" s="11">
        <v>7229.86</v>
      </c>
    </row>
    <row r="14" spans="1:21" ht="15.6">
      <c r="A14" s="7" t="s">
        <v>12</v>
      </c>
      <c r="B14" s="11">
        <v>35</v>
      </c>
      <c r="C14" s="11">
        <v>37.5</v>
      </c>
      <c r="D14" s="11">
        <v>66.099999999999994</v>
      </c>
      <c r="E14" s="4">
        <v>74.95</v>
      </c>
      <c r="F14" s="4">
        <v>79.36</v>
      </c>
      <c r="G14" s="4">
        <f>(F14+H14)/2</f>
        <v>81.564999999999998</v>
      </c>
      <c r="H14" s="4">
        <v>83.77</v>
      </c>
      <c r="I14" s="4">
        <v>88.18</v>
      </c>
      <c r="J14" s="3">
        <v>90.45</v>
      </c>
      <c r="K14" s="2">
        <v>96.36</v>
      </c>
      <c r="L14" s="8">
        <v>93.95</v>
      </c>
      <c r="M14" s="8">
        <v>89.86</v>
      </c>
      <c r="N14" s="4">
        <v>93.48</v>
      </c>
      <c r="O14" s="4">
        <v>91.38</v>
      </c>
      <c r="P14" s="4">
        <v>91.8</v>
      </c>
      <c r="Q14" s="4">
        <v>88.5</v>
      </c>
      <c r="R14" s="8">
        <v>86.49</v>
      </c>
      <c r="S14" s="11">
        <v>86.49</v>
      </c>
      <c r="T14" s="11">
        <v>124.4</v>
      </c>
      <c r="U14" s="11">
        <v>81.41</v>
      </c>
    </row>
    <row r="15" spans="1:21" ht="15.6">
      <c r="A15" s="7" t="s">
        <v>13</v>
      </c>
      <c r="B15" s="11">
        <v>75</v>
      </c>
      <c r="C15" s="11">
        <v>82.4</v>
      </c>
      <c r="D15" s="11">
        <v>63</v>
      </c>
      <c r="E15" s="4">
        <v>71.39</v>
      </c>
      <c r="F15" s="4">
        <v>75.59</v>
      </c>
      <c r="G15" s="4">
        <f>(F15+H15)/2</f>
        <v>77.69</v>
      </c>
      <c r="H15" s="4">
        <v>79.790000000000006</v>
      </c>
      <c r="I15" s="4">
        <v>83.99</v>
      </c>
      <c r="J15" s="3">
        <v>86.43</v>
      </c>
      <c r="K15" s="2">
        <v>88.7</v>
      </c>
      <c r="L15" s="8">
        <v>88.71</v>
      </c>
      <c r="M15" s="8">
        <v>94.32</v>
      </c>
      <c r="N15" s="4">
        <v>96.9</v>
      </c>
      <c r="O15" s="4">
        <v>94.72</v>
      </c>
      <c r="P15" s="4">
        <v>94.8</v>
      </c>
      <c r="Q15" s="4">
        <v>95.01</v>
      </c>
      <c r="R15" s="8">
        <v>95.85</v>
      </c>
      <c r="S15" s="11">
        <v>100.48</v>
      </c>
      <c r="T15" s="11">
        <v>102.7</v>
      </c>
      <c r="U15" s="11">
        <v>102.88</v>
      </c>
    </row>
    <row r="16" spans="1:21" ht="15.6">
      <c r="A16" s="7" t="s">
        <v>14</v>
      </c>
      <c r="B16" s="11">
        <v>200</v>
      </c>
      <c r="C16" s="11">
        <v>215.3</v>
      </c>
      <c r="D16" s="11">
        <v>95.6</v>
      </c>
      <c r="E16" s="4">
        <v>108.4</v>
      </c>
      <c r="F16" s="4">
        <v>114.78</v>
      </c>
      <c r="G16" s="4">
        <f>(F16+H16)/2</f>
        <v>117.965</v>
      </c>
      <c r="H16" s="4">
        <v>121.15</v>
      </c>
      <c r="I16" s="4">
        <v>127.53</v>
      </c>
      <c r="J16" s="3">
        <v>140.91999999999999</v>
      </c>
      <c r="K16" s="2">
        <v>146.09</v>
      </c>
      <c r="L16" s="8">
        <v>141.03</v>
      </c>
      <c r="M16" s="8">
        <v>141.04</v>
      </c>
      <c r="N16" s="4">
        <v>143.84</v>
      </c>
      <c r="O16" s="4">
        <v>143.84</v>
      </c>
      <c r="P16" s="4">
        <v>140.5</v>
      </c>
      <c r="Q16" s="4">
        <v>140.5</v>
      </c>
      <c r="R16" s="8">
        <v>140.5</v>
      </c>
      <c r="S16" s="11">
        <v>140.5</v>
      </c>
      <c r="T16" s="11">
        <v>140.5</v>
      </c>
      <c r="U16" s="11">
        <v>140.5</v>
      </c>
    </row>
    <row r="17" spans="1:21" ht="15.6">
      <c r="A17" s="7" t="s">
        <v>15</v>
      </c>
      <c r="B17" s="11">
        <v>60</v>
      </c>
      <c r="C17" s="11">
        <v>67.2</v>
      </c>
      <c r="D17" s="11">
        <v>60</v>
      </c>
      <c r="E17" s="4">
        <v>68</v>
      </c>
      <c r="F17" s="4">
        <v>72</v>
      </c>
      <c r="G17" s="4">
        <f>(F17+H17)/2</f>
        <v>74</v>
      </c>
      <c r="H17" s="4">
        <v>76</v>
      </c>
      <c r="I17" s="4">
        <v>80</v>
      </c>
      <c r="J17" s="3">
        <v>109.8</v>
      </c>
      <c r="K17" s="2">
        <v>109.8</v>
      </c>
      <c r="L17" s="8">
        <v>108.51</v>
      </c>
      <c r="M17" s="8">
        <v>116.72</v>
      </c>
      <c r="N17" s="4">
        <v>117.04</v>
      </c>
      <c r="O17" s="4">
        <v>86.96</v>
      </c>
      <c r="P17" s="4">
        <v>87.36</v>
      </c>
      <c r="Q17" s="4">
        <v>87.28</v>
      </c>
      <c r="R17" s="8">
        <v>86.62</v>
      </c>
      <c r="S17" s="11">
        <v>94.78</v>
      </c>
      <c r="T17" s="11">
        <v>94.97</v>
      </c>
      <c r="U17" s="11">
        <v>95.27</v>
      </c>
    </row>
    <row r="18" spans="1:21" ht="15.6">
      <c r="A18" s="7" t="s">
        <v>16</v>
      </c>
      <c r="B18" s="11">
        <v>280</v>
      </c>
      <c r="C18" s="11">
        <v>301.60000000000002</v>
      </c>
      <c r="D18" s="11">
        <v>390.9</v>
      </c>
      <c r="E18" s="4">
        <v>443.11</v>
      </c>
      <c r="F18" s="4">
        <v>469.18</v>
      </c>
      <c r="G18" s="4">
        <v>488.7</v>
      </c>
      <c r="H18" s="4">
        <v>506.2</v>
      </c>
      <c r="I18" s="4">
        <v>521.30999999999995</v>
      </c>
      <c r="J18" s="3">
        <v>476.6</v>
      </c>
      <c r="K18" s="2">
        <v>467.73</v>
      </c>
      <c r="L18" s="8">
        <v>462.71</v>
      </c>
      <c r="M18" s="8">
        <v>466.62</v>
      </c>
      <c r="N18" s="4">
        <v>449.82</v>
      </c>
      <c r="O18" s="4">
        <v>408.69</v>
      </c>
      <c r="P18" s="4">
        <v>483.17</v>
      </c>
      <c r="Q18" s="4">
        <v>502.83</v>
      </c>
      <c r="R18" s="8">
        <v>504.04</v>
      </c>
      <c r="S18" s="11">
        <v>504.06</v>
      </c>
      <c r="T18" s="11">
        <v>508.67</v>
      </c>
      <c r="U18" s="11">
        <v>508.67</v>
      </c>
    </row>
    <row r="19" spans="1:21" ht="15.6">
      <c r="A19" s="7" t="s">
        <v>17</v>
      </c>
      <c r="B19" s="11">
        <v>5</v>
      </c>
      <c r="C19" s="11">
        <v>5.8</v>
      </c>
      <c r="D19" s="11">
        <v>7.3</v>
      </c>
      <c r="E19" s="4">
        <v>8.32</v>
      </c>
      <c r="F19" s="4">
        <v>8.81</v>
      </c>
      <c r="G19" s="4">
        <f t="shared" ref="G19:G24" si="0">(F19+H19)/2</f>
        <v>9.0549999999999997</v>
      </c>
      <c r="H19" s="4">
        <v>9.3000000000000007</v>
      </c>
      <c r="I19" s="4">
        <v>9.7899999999999991</v>
      </c>
      <c r="J19" s="3">
        <v>9.32</v>
      </c>
      <c r="K19" s="2">
        <v>9.43</v>
      </c>
      <c r="L19" s="8">
        <v>6.43</v>
      </c>
      <c r="M19" s="8">
        <v>6.72</v>
      </c>
      <c r="N19" s="4">
        <v>5.27</v>
      </c>
      <c r="O19" s="4">
        <v>5.39</v>
      </c>
      <c r="P19" s="4">
        <v>5.68</v>
      </c>
      <c r="Q19" s="4">
        <v>9.0500000000000007</v>
      </c>
      <c r="R19" s="8">
        <v>11.36</v>
      </c>
      <c r="S19" s="11">
        <v>11.76</v>
      </c>
      <c r="T19" s="11">
        <v>13.14</v>
      </c>
      <c r="U19" s="11">
        <v>14.69</v>
      </c>
    </row>
    <row r="20" spans="1:21" ht="15.6">
      <c r="A20" s="7" t="s">
        <v>18</v>
      </c>
      <c r="B20" s="11">
        <v>1</v>
      </c>
      <c r="C20" s="11">
        <v>1.4</v>
      </c>
      <c r="D20" s="11">
        <v>0.67</v>
      </c>
      <c r="E20" s="4">
        <v>0.76</v>
      </c>
      <c r="F20" s="4">
        <v>0.8</v>
      </c>
      <c r="G20" s="4">
        <f t="shared" si="0"/>
        <v>0.82499999999999996</v>
      </c>
      <c r="H20" s="4">
        <v>0.85</v>
      </c>
      <c r="I20" s="4">
        <v>0.89</v>
      </c>
      <c r="J20" s="3">
        <v>0.64</v>
      </c>
      <c r="K20" s="2">
        <v>0.06</v>
      </c>
      <c r="L20" s="8">
        <v>0.41</v>
      </c>
      <c r="M20" s="8">
        <v>0.41</v>
      </c>
      <c r="N20" s="4">
        <v>0.68</v>
      </c>
      <c r="O20" s="4">
        <v>0.74</v>
      </c>
      <c r="P20" s="4">
        <v>0.27</v>
      </c>
      <c r="Q20" s="4">
        <v>0.41</v>
      </c>
      <c r="R20" s="8">
        <v>0.39</v>
      </c>
      <c r="S20" s="11">
        <v>0.33</v>
      </c>
      <c r="T20" s="11">
        <v>0.33</v>
      </c>
      <c r="U20" s="11">
        <v>0.35</v>
      </c>
    </row>
    <row r="21" spans="1:21" ht="15.6">
      <c r="A21" s="7" t="s">
        <v>19</v>
      </c>
      <c r="B21" s="11">
        <v>3</v>
      </c>
      <c r="C21" s="11">
        <v>3.2</v>
      </c>
      <c r="D21" s="11">
        <v>2.92</v>
      </c>
      <c r="E21" s="4">
        <v>3.31</v>
      </c>
      <c r="F21" s="4">
        <v>3.5</v>
      </c>
      <c r="G21" s="4">
        <f t="shared" si="0"/>
        <v>3.6</v>
      </c>
      <c r="H21" s="4">
        <v>3.7</v>
      </c>
      <c r="I21" s="4">
        <v>3.89</v>
      </c>
      <c r="J21" s="3">
        <v>3.89</v>
      </c>
      <c r="K21" s="2">
        <v>4.09</v>
      </c>
      <c r="L21" s="8">
        <v>3.56</v>
      </c>
      <c r="M21" s="8">
        <v>3.87</v>
      </c>
      <c r="N21" s="4">
        <v>3.71</v>
      </c>
      <c r="O21" s="4">
        <v>3.75</v>
      </c>
      <c r="P21" s="4">
        <v>3.75</v>
      </c>
      <c r="Q21" s="4">
        <v>5.53</v>
      </c>
      <c r="R21" s="8">
        <v>5.54</v>
      </c>
      <c r="S21" s="11">
        <v>5.55</v>
      </c>
      <c r="T21" s="11">
        <v>5.55</v>
      </c>
      <c r="U21" s="11">
        <v>5.56</v>
      </c>
    </row>
    <row r="22" spans="1:21" ht="15.6">
      <c r="A22" s="7" t="s">
        <v>20</v>
      </c>
      <c r="B22" s="11">
        <v>3462</v>
      </c>
      <c r="C22" s="11">
        <v>4647.6000000000004</v>
      </c>
      <c r="D22" s="11">
        <v>3852.2</v>
      </c>
      <c r="E22" s="4">
        <f>(D22+F22)/2</f>
        <v>4416.5499999999993</v>
      </c>
      <c r="F22" s="4">
        <v>4980.8999999999996</v>
      </c>
      <c r="G22" s="4">
        <f t="shared" si="0"/>
        <v>5239.1625000000004</v>
      </c>
      <c r="H22" s="4">
        <v>5497.4250000000002</v>
      </c>
      <c r="I22" s="4">
        <v>5136.2</v>
      </c>
      <c r="J22" s="3">
        <v>5650</v>
      </c>
      <c r="K22" s="2">
        <f>(J22+L22)/2</f>
        <v>4990.8249999999998</v>
      </c>
      <c r="L22" s="8">
        <v>4331.6499999999996</v>
      </c>
      <c r="M22" s="8">
        <v>3640.73</v>
      </c>
      <c r="N22" s="4">
        <v>3205.04</v>
      </c>
      <c r="O22" s="4">
        <v>3153.55</v>
      </c>
      <c r="P22" s="4">
        <v>3986.73</v>
      </c>
      <c r="Q22" s="4">
        <v>3895.65</v>
      </c>
      <c r="R22" s="8">
        <v>3953.67</v>
      </c>
      <c r="S22" s="11">
        <v>4522.62</v>
      </c>
      <c r="T22" s="11">
        <v>4719.95</v>
      </c>
      <c r="U22" s="11">
        <v>4905.4799999999996</v>
      </c>
    </row>
    <row r="23" spans="1:21" ht="15.6">
      <c r="A23" s="7" t="s">
        <v>21</v>
      </c>
      <c r="B23" s="11">
        <v>300</v>
      </c>
      <c r="C23" s="11">
        <v>345.7</v>
      </c>
      <c r="D23" s="11">
        <v>100.3</v>
      </c>
      <c r="E23" s="4">
        <v>113.65</v>
      </c>
      <c r="F23" s="4">
        <v>120.33</v>
      </c>
      <c r="G23" s="4">
        <f t="shared" si="0"/>
        <v>123.675</v>
      </c>
      <c r="H23" s="4">
        <v>127.02</v>
      </c>
      <c r="I23" s="4">
        <v>133.69999999999999</v>
      </c>
      <c r="J23" s="3">
        <v>301.49</v>
      </c>
      <c r="K23" s="2">
        <v>268.56</v>
      </c>
      <c r="L23" s="8">
        <v>183.7</v>
      </c>
      <c r="M23" s="8">
        <v>143.88</v>
      </c>
      <c r="N23" s="4">
        <v>90.02</v>
      </c>
      <c r="O23" s="4">
        <v>108.55</v>
      </c>
      <c r="P23" s="4">
        <v>91.04</v>
      </c>
      <c r="Q23" s="4">
        <v>100.12</v>
      </c>
      <c r="R23" s="8">
        <v>84.95</v>
      </c>
      <c r="S23" s="11">
        <v>109.61</v>
      </c>
      <c r="T23" s="11">
        <v>100.25</v>
      </c>
      <c r="U23" s="11">
        <v>74.680000000000007</v>
      </c>
    </row>
    <row r="24" spans="1:21" ht="15.6">
      <c r="A24" s="7" t="s">
        <v>22</v>
      </c>
      <c r="B24" s="11">
        <v>95</v>
      </c>
      <c r="C24" s="11">
        <v>102.6</v>
      </c>
      <c r="D24" s="11">
        <v>83.5</v>
      </c>
      <c r="E24" s="4">
        <v>94.62</v>
      </c>
      <c r="F24" s="4">
        <v>100.19</v>
      </c>
      <c r="G24" s="4">
        <f t="shared" si="0"/>
        <v>102.97</v>
      </c>
      <c r="H24" s="4">
        <v>105.75</v>
      </c>
      <c r="I24" s="4">
        <v>133.69999999999999</v>
      </c>
      <c r="J24" s="3">
        <v>134.25</v>
      </c>
      <c r="K24" s="2">
        <v>72</v>
      </c>
      <c r="L24" s="8">
        <v>153.62</v>
      </c>
      <c r="M24" s="8">
        <v>152.08000000000001</v>
      </c>
      <c r="N24" s="4">
        <v>109.4</v>
      </c>
      <c r="O24" s="4">
        <v>109.52</v>
      </c>
      <c r="P24" s="4">
        <v>110.24</v>
      </c>
      <c r="Q24" s="4">
        <v>111.11</v>
      </c>
      <c r="R24" s="8">
        <v>110.47</v>
      </c>
      <c r="S24" s="11">
        <v>114.22</v>
      </c>
      <c r="T24" s="11">
        <v>114.34</v>
      </c>
      <c r="U24" s="11">
        <v>114.34</v>
      </c>
    </row>
    <row r="25" spans="1:21" ht="15.6">
      <c r="A25" s="7" t="s">
        <v>23</v>
      </c>
      <c r="B25" s="11">
        <v>1100</v>
      </c>
      <c r="C25" s="11">
        <v>1165.9000000000001</v>
      </c>
      <c r="D25" s="11">
        <v>808.4</v>
      </c>
      <c r="E25" s="4">
        <v>916.13</v>
      </c>
      <c r="F25" s="4">
        <v>1138.5999999999999</v>
      </c>
      <c r="G25" s="4">
        <v>1346.1</v>
      </c>
      <c r="H25" s="4">
        <v>1023.91</v>
      </c>
      <c r="I25" s="4">
        <v>1111.32</v>
      </c>
      <c r="J25" s="3">
        <v>1599.02</v>
      </c>
      <c r="K25" s="2">
        <v>1950.62</v>
      </c>
      <c r="L25" s="8">
        <v>3061.21</v>
      </c>
      <c r="M25" s="8">
        <v>3078.73</v>
      </c>
      <c r="N25" s="4">
        <v>3172.33</v>
      </c>
      <c r="O25" s="4">
        <v>3222.57</v>
      </c>
      <c r="P25" s="4">
        <v>3332.14</v>
      </c>
      <c r="Q25" s="4">
        <v>3387.51</v>
      </c>
      <c r="R25" s="8">
        <v>3391.01</v>
      </c>
      <c r="S25" s="11">
        <v>4037.9</v>
      </c>
      <c r="T25" s="11">
        <v>4191.8500000000004</v>
      </c>
      <c r="U25" s="11">
        <v>4757.84</v>
      </c>
    </row>
    <row r="26" spans="1:21" ht="15.6">
      <c r="A26" s="7" t="s">
        <v>24</v>
      </c>
      <c r="B26" s="11">
        <v>800</v>
      </c>
      <c r="C26" s="11">
        <v>756.9</v>
      </c>
      <c r="D26" s="11">
        <v>756.9</v>
      </c>
      <c r="E26" s="4">
        <v>954.1</v>
      </c>
      <c r="F26" s="4">
        <v>982.2</v>
      </c>
      <c r="G26" s="4">
        <v>1010.1</v>
      </c>
      <c r="H26" s="4">
        <v>1054</v>
      </c>
      <c r="I26" s="4">
        <v>1077.8</v>
      </c>
      <c r="J26" s="3">
        <v>1097.5</v>
      </c>
      <c r="K26" s="2">
        <v>1124</v>
      </c>
      <c r="L26" s="8">
        <v>1172.3399999999999</v>
      </c>
      <c r="M26" s="8">
        <v>1195.5999999999999</v>
      </c>
      <c r="N26" s="4">
        <v>1200</v>
      </c>
      <c r="O26" s="4">
        <v>1223.25</v>
      </c>
      <c r="P26" s="4">
        <v>1132.6500000000001</v>
      </c>
      <c r="Q26" s="4">
        <v>1116.4100000000001</v>
      </c>
      <c r="R26" s="8">
        <v>1203.73</v>
      </c>
      <c r="S26" s="11">
        <v>1416.13</v>
      </c>
      <c r="T26" s="11">
        <v>1440.01</v>
      </c>
      <c r="U26" s="11">
        <v>1434.15</v>
      </c>
    </row>
    <row r="27" spans="1:21" ht="15.6">
      <c r="A27" s="7" t="s">
        <v>27</v>
      </c>
      <c r="B27" s="4">
        <f>SUM(B2:B26)</f>
        <v>18634.349999999999</v>
      </c>
      <c r="C27" s="4">
        <f t="shared" ref="C27:S27" si="1">SUM(C2:C26)</f>
        <v>20734.38</v>
      </c>
      <c r="D27" s="4">
        <f t="shared" si="1"/>
        <v>20601.730000000003</v>
      </c>
      <c r="E27" s="4">
        <f t="shared" si="1"/>
        <v>25093.040000000001</v>
      </c>
      <c r="F27" s="4">
        <f t="shared" si="1"/>
        <v>26005.85</v>
      </c>
      <c r="G27" s="4">
        <f t="shared" si="1"/>
        <v>26819.7225</v>
      </c>
      <c r="H27" s="4">
        <f t="shared" si="1"/>
        <v>26908.675000000003</v>
      </c>
      <c r="I27" s="4">
        <f t="shared" si="1"/>
        <v>27593.47</v>
      </c>
      <c r="J27" s="4">
        <f t="shared" si="1"/>
        <v>29675.129999999997</v>
      </c>
      <c r="K27" s="4">
        <f t="shared" si="1"/>
        <v>28732.815000000002</v>
      </c>
      <c r="L27" s="4">
        <f t="shared" si="1"/>
        <v>29081.3</v>
      </c>
      <c r="M27" s="4">
        <f t="shared" si="1"/>
        <v>29105.35</v>
      </c>
      <c r="N27" s="4">
        <f t="shared" si="1"/>
        <v>30753.210000000006</v>
      </c>
      <c r="O27" s="4">
        <f t="shared" si="1"/>
        <v>30405.559999999998</v>
      </c>
      <c r="P27" s="4">
        <f t="shared" si="1"/>
        <v>32545.05</v>
      </c>
      <c r="Q27" s="4">
        <f t="shared" si="1"/>
        <v>33010.17</v>
      </c>
      <c r="R27" s="4">
        <f t="shared" si="1"/>
        <v>34475.160000000003</v>
      </c>
      <c r="S27" s="4">
        <f t="shared" si="1"/>
        <v>36561.1</v>
      </c>
      <c r="T27" s="4">
        <f>SUM(T2:T26)</f>
        <v>37561.620000000003</v>
      </c>
      <c r="U27" s="4">
        <f>SUM(U2:U26)</f>
        <v>37999.870000000003</v>
      </c>
    </row>
    <row r="31" spans="1:21">
      <c r="A31" s="9"/>
      <c r="B31" s="9"/>
      <c r="C31" s="9"/>
      <c r="D31" s="9"/>
    </row>
    <row r="32" spans="1:21">
      <c r="A32" s="10"/>
      <c r="B32" s="10"/>
      <c r="C32" s="10"/>
      <c r="D32" s="10"/>
    </row>
    <row r="33" spans="1:22">
      <c r="A33" s="10"/>
      <c r="B33" s="10"/>
      <c r="C33" s="10"/>
      <c r="D33" s="10"/>
    </row>
    <row r="34" spans="1:22">
      <c r="A34" s="10"/>
      <c r="B34" s="10"/>
      <c r="C34" s="10"/>
      <c r="D34" s="10"/>
    </row>
    <row r="35" spans="1:22">
      <c r="A35" s="10"/>
      <c r="B35" s="10"/>
      <c r="C35" s="10"/>
      <c r="D35" s="10"/>
    </row>
    <row r="36" spans="1:22">
      <c r="A36" s="10"/>
      <c r="B36" s="10"/>
      <c r="C36" s="10"/>
      <c r="D36" s="10"/>
    </row>
    <row r="37" spans="1:22" ht="15.6">
      <c r="A37" s="7"/>
      <c r="B37" s="11"/>
      <c r="C37" s="11"/>
      <c r="D37" s="4"/>
      <c r="E37" s="4"/>
      <c r="F37" s="4"/>
      <c r="G37" s="4"/>
      <c r="H37" s="4"/>
      <c r="I37" s="3"/>
      <c r="J37" s="2"/>
      <c r="K37" s="8"/>
      <c r="L37" s="8"/>
      <c r="M37" s="4"/>
      <c r="N37" s="4"/>
      <c r="O37" s="4"/>
      <c r="P37" s="4"/>
      <c r="Q37" s="8"/>
      <c r="R37" s="8"/>
      <c r="S37" s="4"/>
    </row>
    <row r="38" spans="1:22">
      <c r="A38" s="10"/>
      <c r="B38" s="10"/>
      <c r="C38" s="10"/>
      <c r="D38" s="10"/>
    </row>
    <row r="39" spans="1:22" ht="15.6">
      <c r="A39" s="7"/>
      <c r="B39" s="7"/>
      <c r="C39" s="7"/>
      <c r="D39" s="7"/>
      <c r="E39" s="7"/>
      <c r="J39" s="4"/>
      <c r="K39" s="4"/>
      <c r="L39" s="4"/>
    </row>
    <row r="40" spans="1:22">
      <c r="A40" s="11"/>
      <c r="B40" s="11"/>
      <c r="C40" s="11"/>
      <c r="D40" s="11"/>
      <c r="E40" s="11"/>
      <c r="J40" s="4"/>
      <c r="K40" s="4"/>
      <c r="L40" s="4"/>
    </row>
    <row r="41" spans="1:22">
      <c r="A41" s="11"/>
      <c r="B41" s="11"/>
      <c r="C41" s="11"/>
      <c r="D41" s="11"/>
      <c r="E41" s="11"/>
      <c r="J41" s="4"/>
      <c r="K41" s="4"/>
      <c r="L41" s="4"/>
    </row>
    <row r="42" spans="1:22">
      <c r="A42" s="11"/>
      <c r="B42" s="11"/>
      <c r="C42" s="11"/>
      <c r="D42" s="11"/>
      <c r="E42" s="11"/>
      <c r="J42" s="4"/>
      <c r="K42" s="4"/>
      <c r="L42" s="4"/>
    </row>
    <row r="43" spans="1:22">
      <c r="A43" s="4"/>
      <c r="B43" s="4"/>
      <c r="C43" s="4"/>
      <c r="D43" s="4"/>
      <c r="E43" s="4"/>
      <c r="J43" s="4"/>
      <c r="K43" s="4"/>
      <c r="L43" s="4"/>
    </row>
    <row r="44" spans="1:22">
      <c r="A44" s="4"/>
      <c r="B44" s="4"/>
      <c r="C44" s="4"/>
      <c r="D44" s="4"/>
      <c r="E44" s="4"/>
      <c r="J44" s="4"/>
      <c r="K44" s="4"/>
      <c r="L44" s="4"/>
      <c r="Q44" s="9"/>
      <c r="R44" s="9"/>
      <c r="S44" s="9"/>
      <c r="T44" s="9"/>
      <c r="U44" s="9"/>
      <c r="V44" s="9"/>
    </row>
    <row r="45" spans="1:22">
      <c r="A45" s="4"/>
      <c r="B45" s="4"/>
      <c r="C45" s="4"/>
      <c r="D45" s="4"/>
      <c r="E45" s="4"/>
      <c r="J45" s="4"/>
      <c r="K45" s="4"/>
      <c r="L45" s="4"/>
      <c r="Q45" s="10"/>
      <c r="R45" s="10"/>
      <c r="S45" s="10"/>
      <c r="T45" s="10"/>
      <c r="U45" s="10"/>
      <c r="V45" s="10"/>
    </row>
    <row r="46" spans="1:22">
      <c r="A46" s="4"/>
      <c r="B46" s="4"/>
      <c r="C46" s="4"/>
      <c r="D46" s="4"/>
      <c r="E46" s="4"/>
      <c r="J46" s="4"/>
      <c r="K46" s="4"/>
      <c r="L46" s="4"/>
      <c r="Q46" s="10"/>
      <c r="R46" s="10"/>
      <c r="S46" s="10"/>
      <c r="T46" s="10"/>
      <c r="U46" s="10"/>
      <c r="V46" s="10"/>
    </row>
    <row r="47" spans="1:22">
      <c r="A47" s="4"/>
      <c r="B47" s="4"/>
      <c r="C47" s="4"/>
      <c r="D47" s="4"/>
      <c r="E47" s="4"/>
      <c r="J47" s="4"/>
      <c r="K47" s="4"/>
      <c r="L47" s="4"/>
      <c r="Q47" s="10"/>
      <c r="R47" s="10"/>
      <c r="S47" s="10"/>
      <c r="T47" s="10"/>
      <c r="U47" s="10"/>
      <c r="V47" s="10"/>
    </row>
    <row r="48" spans="1:22">
      <c r="A48" s="3"/>
      <c r="B48" s="3"/>
      <c r="C48" s="3"/>
      <c r="D48" s="3"/>
      <c r="E48" s="3"/>
      <c r="J48" s="4"/>
      <c r="K48" s="4"/>
      <c r="L48" s="4"/>
      <c r="Q48" s="10"/>
      <c r="R48" s="10"/>
      <c r="S48" s="10"/>
      <c r="T48" s="10"/>
      <c r="U48" s="10"/>
      <c r="V48" s="10"/>
    </row>
    <row r="49" spans="1:22">
      <c r="A49" s="2"/>
      <c r="B49" s="1"/>
      <c r="C49" s="2"/>
      <c r="D49" s="2"/>
      <c r="E49" s="2"/>
      <c r="J49" s="4"/>
      <c r="K49" s="4"/>
      <c r="L49" s="4"/>
      <c r="Q49" s="10"/>
      <c r="R49" s="10"/>
      <c r="S49" s="10"/>
      <c r="T49" s="10"/>
      <c r="U49" s="10"/>
      <c r="V49" s="10"/>
    </row>
    <row r="50" spans="1:22">
      <c r="A50" s="8"/>
      <c r="B50" s="8"/>
      <c r="C50" s="8"/>
      <c r="D50" s="8"/>
      <c r="E50" s="8"/>
      <c r="J50" s="4"/>
      <c r="K50" s="4"/>
      <c r="L50" s="4"/>
      <c r="Q50" s="10"/>
      <c r="R50" s="10"/>
      <c r="S50" s="10"/>
      <c r="T50" s="10"/>
      <c r="U50" s="10"/>
      <c r="V50" s="10"/>
    </row>
    <row r="51" spans="1:22">
      <c r="A51" s="8"/>
      <c r="B51" s="8"/>
      <c r="C51" s="8"/>
      <c r="D51" s="8"/>
      <c r="E51" s="8"/>
      <c r="J51" s="4"/>
      <c r="K51" s="4"/>
      <c r="L51" s="4"/>
      <c r="Q51" s="10"/>
      <c r="R51" s="10"/>
      <c r="S51" s="10"/>
      <c r="T51" s="10"/>
      <c r="U51" s="10"/>
      <c r="V51" s="10"/>
    </row>
    <row r="52" spans="1:22">
      <c r="A52" s="4"/>
      <c r="B52" s="4"/>
      <c r="C52" s="4"/>
      <c r="D52" s="4"/>
      <c r="E52" s="4"/>
      <c r="J52" s="4"/>
      <c r="K52" s="4"/>
      <c r="L52" s="4"/>
      <c r="Q52" s="10"/>
      <c r="R52" s="10"/>
      <c r="S52" s="10"/>
      <c r="T52" s="10"/>
      <c r="U52" s="10"/>
      <c r="V52" s="10"/>
    </row>
    <row r="53" spans="1:22">
      <c r="A53" s="4"/>
      <c r="B53" s="4"/>
      <c r="C53" s="4"/>
      <c r="D53" s="4"/>
      <c r="E53" s="4"/>
      <c r="J53" s="4"/>
      <c r="K53" s="4"/>
      <c r="L53" s="4"/>
      <c r="Q53" s="10"/>
      <c r="R53" s="10"/>
      <c r="S53" s="10"/>
      <c r="T53" s="10"/>
      <c r="U53" s="10"/>
      <c r="V53" s="10"/>
    </row>
    <row r="54" spans="1:22">
      <c r="A54" s="4"/>
      <c r="B54" s="4"/>
      <c r="C54" s="4"/>
      <c r="D54" s="4"/>
      <c r="E54" s="4"/>
      <c r="J54" s="4"/>
      <c r="K54" s="4"/>
      <c r="L54" s="4"/>
      <c r="Q54" s="10"/>
      <c r="R54" s="10"/>
      <c r="S54" s="10"/>
      <c r="T54" s="10"/>
      <c r="U54" s="10"/>
      <c r="V54" s="10"/>
    </row>
    <row r="55" spans="1:22">
      <c r="A55" s="4"/>
      <c r="B55" s="4"/>
      <c r="C55" s="4"/>
      <c r="D55" s="4"/>
      <c r="E55" s="4"/>
      <c r="J55" s="4"/>
      <c r="K55" s="4"/>
      <c r="L55" s="4"/>
      <c r="Q55" s="10"/>
      <c r="R55" s="10"/>
      <c r="S55" s="10"/>
      <c r="T55" s="10"/>
      <c r="U55" s="10"/>
      <c r="V55" s="10"/>
    </row>
    <row r="56" spans="1:22">
      <c r="A56" s="8"/>
      <c r="B56" s="8"/>
      <c r="C56" s="8"/>
      <c r="D56" s="8"/>
      <c r="E56" s="8"/>
      <c r="J56" s="4"/>
      <c r="K56" s="4"/>
      <c r="L56" s="4"/>
      <c r="Q56" s="10"/>
      <c r="R56" s="10"/>
      <c r="S56" s="10"/>
      <c r="T56" s="10"/>
      <c r="U56" s="10"/>
      <c r="V56" s="10"/>
    </row>
    <row r="57" spans="1:22">
      <c r="A57" s="8"/>
      <c r="B57" s="8"/>
      <c r="C57" s="8"/>
      <c r="D57" s="8"/>
      <c r="E57" s="8"/>
      <c r="J57" s="4"/>
      <c r="K57" s="4"/>
      <c r="L57" s="4"/>
      <c r="Q57" s="10"/>
      <c r="R57" s="10"/>
      <c r="S57" s="10"/>
      <c r="T57" s="10"/>
      <c r="U57" s="10"/>
      <c r="V57" s="10"/>
    </row>
    <row r="58" spans="1:22">
      <c r="A58" s="4"/>
      <c r="B58" s="4"/>
      <c r="C58" s="4"/>
      <c r="D58" s="4"/>
      <c r="E58" s="4"/>
      <c r="J58" s="4"/>
      <c r="K58" s="4"/>
      <c r="L58" s="4"/>
      <c r="Q58" s="10"/>
      <c r="R58" s="10"/>
      <c r="S58" s="10"/>
      <c r="T58" s="10"/>
      <c r="U58" s="10"/>
      <c r="V58" s="10"/>
    </row>
    <row r="59" spans="1:22">
      <c r="J59" s="4"/>
      <c r="K59" s="4"/>
      <c r="L59" s="4"/>
      <c r="Q59" s="10"/>
      <c r="R59" s="10"/>
      <c r="S59" s="10"/>
      <c r="T59" s="10"/>
      <c r="U59" s="10"/>
      <c r="V59" s="10"/>
    </row>
    <row r="60" spans="1:22">
      <c r="J60" s="4"/>
      <c r="K60" s="4"/>
      <c r="L60" s="4"/>
      <c r="Q60" s="10"/>
      <c r="R60" s="10"/>
      <c r="S60" s="10"/>
      <c r="T60" s="10"/>
      <c r="U60" s="10"/>
      <c r="V60" s="10"/>
    </row>
    <row r="61" spans="1:22">
      <c r="J61" s="4"/>
      <c r="K61" s="4"/>
      <c r="L61" s="4"/>
      <c r="Q61" s="10"/>
      <c r="R61" s="10"/>
      <c r="S61" s="10"/>
      <c r="T61" s="10"/>
      <c r="U61" s="10"/>
      <c r="V61" s="10"/>
    </row>
    <row r="62" spans="1:22">
      <c r="J62" s="4"/>
      <c r="K62" s="4"/>
      <c r="L62" s="4"/>
      <c r="Q62" s="10"/>
      <c r="R62" s="10"/>
      <c r="S62" s="10"/>
      <c r="T62" s="10"/>
      <c r="U62" s="10"/>
      <c r="V62" s="10"/>
    </row>
    <row r="63" spans="1:22">
      <c r="J63" s="4"/>
      <c r="K63" s="4"/>
      <c r="L63" s="4"/>
      <c r="Q63" s="10"/>
      <c r="R63" s="10"/>
      <c r="S63" s="10"/>
      <c r="T63" s="10"/>
      <c r="U63" s="10"/>
      <c r="V63" s="10"/>
    </row>
    <row r="64" spans="1:22">
      <c r="Q64" s="10"/>
      <c r="R64" s="10"/>
      <c r="S64" s="10"/>
      <c r="T64" s="10"/>
      <c r="U64" s="10"/>
      <c r="V64" s="10"/>
    </row>
    <row r="65" spans="4:22">
      <c r="Q65" s="10"/>
      <c r="R65" s="10"/>
      <c r="S65" s="10"/>
      <c r="T65" s="10"/>
      <c r="U65" s="10"/>
      <c r="V65" s="10"/>
    </row>
    <row r="66" spans="4:22">
      <c r="Q66" s="10"/>
      <c r="R66" s="10"/>
      <c r="S66" s="10"/>
      <c r="T66" s="10"/>
      <c r="U66" s="10"/>
      <c r="V66" s="10"/>
    </row>
    <row r="67" spans="4:22">
      <c r="Q67" s="10"/>
      <c r="R67" s="10"/>
      <c r="S67" s="10"/>
      <c r="T67" s="10"/>
      <c r="U67" s="10"/>
      <c r="V67" s="10"/>
    </row>
    <row r="68" spans="4:22">
      <c r="Q68" s="10"/>
      <c r="R68" s="10"/>
      <c r="S68" s="10"/>
      <c r="T68" s="10"/>
      <c r="U68" s="10"/>
      <c r="V68" s="10"/>
    </row>
    <row r="69" spans="4:22">
      <c r="Q69" s="10"/>
      <c r="R69" s="10"/>
      <c r="S69" s="10"/>
      <c r="T69" s="10"/>
      <c r="U69" s="10"/>
      <c r="V69" s="10"/>
    </row>
    <row r="71" spans="4:22">
      <c r="D71" s="13"/>
      <c r="E71" s="22"/>
    </row>
    <row r="72" spans="4:22">
      <c r="D72" s="13"/>
      <c r="E72" s="14"/>
    </row>
    <row r="73" spans="4:22">
      <c r="D73" s="13"/>
      <c r="E73" s="22"/>
    </row>
    <row r="74" spans="4:22" ht="15.6">
      <c r="D74" s="13"/>
      <c r="E74" s="22"/>
      <c r="P74" s="7"/>
      <c r="Q74" s="7"/>
      <c r="R74" s="7"/>
      <c r="S74" s="7"/>
      <c r="T74" s="7"/>
    </row>
    <row r="75" spans="4:22">
      <c r="D75" s="13"/>
      <c r="E75" s="14"/>
      <c r="P75" s="11"/>
      <c r="Q75" s="11"/>
      <c r="R75" s="11"/>
      <c r="S75" s="11"/>
      <c r="T75" s="11"/>
    </row>
    <row r="76" spans="4:22">
      <c r="D76" s="13"/>
      <c r="E76" s="22"/>
      <c r="P76" s="11"/>
      <c r="Q76" s="11"/>
      <c r="R76" s="11"/>
      <c r="S76" s="11"/>
      <c r="T76" s="11"/>
    </row>
    <row r="77" spans="4:22">
      <c r="D77" s="13"/>
      <c r="E77" s="14"/>
      <c r="P77" s="11"/>
      <c r="Q77" s="11"/>
      <c r="R77" s="11"/>
      <c r="S77" s="11"/>
      <c r="T77" s="11"/>
    </row>
    <row r="78" spans="4:22">
      <c r="D78" s="13"/>
      <c r="E78" s="14"/>
      <c r="P78" s="4"/>
      <c r="Q78" s="4"/>
      <c r="R78" s="4"/>
      <c r="S78" s="4"/>
      <c r="T78" s="4"/>
    </row>
    <row r="79" spans="4:22">
      <c r="D79" s="13"/>
      <c r="E79" s="22"/>
      <c r="P79" s="4"/>
      <c r="Q79" s="4"/>
      <c r="R79" s="4"/>
      <c r="S79" s="4"/>
      <c r="T79" s="4"/>
    </row>
    <row r="80" spans="4:22">
      <c r="D80" s="13"/>
      <c r="E80" s="14"/>
      <c r="P80" s="4"/>
      <c r="Q80" s="4"/>
      <c r="R80" s="4"/>
      <c r="S80" s="4"/>
      <c r="T80" s="4"/>
    </row>
    <row r="81" spans="4:20">
      <c r="D81" s="13"/>
      <c r="E81" s="22"/>
      <c r="P81" s="4"/>
      <c r="Q81" s="4"/>
      <c r="R81" s="4"/>
      <c r="S81" s="4"/>
      <c r="T81" s="4"/>
    </row>
    <row r="82" spans="4:20">
      <c r="D82" s="13"/>
      <c r="E82" s="22"/>
      <c r="P82" s="4"/>
      <c r="Q82" s="4"/>
      <c r="R82" s="4"/>
      <c r="S82" s="4"/>
      <c r="T82" s="4"/>
    </row>
    <row r="83" spans="4:20">
      <c r="D83" s="13"/>
      <c r="E83" s="14"/>
      <c r="P83" s="3"/>
      <c r="Q83" s="3"/>
      <c r="R83" s="3"/>
      <c r="S83" s="3"/>
      <c r="T83" s="3"/>
    </row>
    <row r="84" spans="4:20">
      <c r="D84" s="13"/>
      <c r="E84" s="14"/>
      <c r="P84" s="2"/>
      <c r="Q84" s="1"/>
      <c r="R84" s="2"/>
      <c r="S84" s="2"/>
      <c r="T84" s="2"/>
    </row>
    <row r="85" spans="4:20">
      <c r="D85" s="13"/>
      <c r="E85" s="14"/>
      <c r="P85" s="8"/>
      <c r="Q85" s="8"/>
      <c r="R85" s="8"/>
      <c r="S85" s="8"/>
      <c r="T85" s="8"/>
    </row>
    <row r="86" spans="4:20">
      <c r="D86" s="13"/>
      <c r="E86" s="14"/>
      <c r="P86" s="8"/>
      <c r="Q86" s="8"/>
      <c r="R86" s="8"/>
      <c r="S86" s="8"/>
      <c r="T86" s="8"/>
    </row>
    <row r="87" spans="4:20">
      <c r="D87" s="13"/>
      <c r="E87" s="14"/>
      <c r="P87" s="4"/>
      <c r="Q87" s="4"/>
      <c r="R87" s="4"/>
      <c r="S87" s="4"/>
      <c r="T87" s="4"/>
    </row>
    <row r="88" spans="4:20">
      <c r="D88" s="13"/>
      <c r="E88" s="14"/>
      <c r="P88" s="4"/>
      <c r="Q88" s="4"/>
      <c r="R88" s="4"/>
      <c r="S88" s="4"/>
      <c r="T88" s="4"/>
    </row>
    <row r="89" spans="4:20">
      <c r="D89" s="13"/>
      <c r="E89" s="14"/>
      <c r="P89" s="4"/>
      <c r="Q89" s="4"/>
      <c r="R89" s="4"/>
      <c r="S89" s="4"/>
      <c r="T89" s="4"/>
    </row>
    <row r="90" spans="4:20">
      <c r="D90" s="13"/>
      <c r="E90" s="14"/>
      <c r="P90" s="4"/>
      <c r="Q90" s="4"/>
      <c r="R90" s="4"/>
      <c r="S90" s="4"/>
      <c r="T90" s="4"/>
    </row>
    <row r="91" spans="4:20">
      <c r="D91" s="13"/>
      <c r="E91" s="22"/>
      <c r="P91" s="8"/>
      <c r="Q91" s="8"/>
      <c r="R91" s="8"/>
      <c r="S91" s="8"/>
      <c r="T91" s="8"/>
    </row>
    <row r="92" spans="4:20">
      <c r="D92" s="13"/>
      <c r="E92" s="14"/>
      <c r="P92" s="11"/>
      <c r="Q92" s="11"/>
      <c r="R92" s="11"/>
      <c r="S92" s="11"/>
      <c r="T92" s="11"/>
    </row>
    <row r="93" spans="4:20">
      <c r="D93" s="13"/>
      <c r="E93" s="14"/>
      <c r="P93" s="11"/>
      <c r="Q93" s="11"/>
      <c r="R93" s="11"/>
      <c r="S93" s="11"/>
      <c r="T93" s="11"/>
    </row>
    <row r="94" spans="4:20">
      <c r="D94" s="13"/>
      <c r="E94" s="22"/>
      <c r="P94" s="11"/>
      <c r="Q94" s="11"/>
      <c r="R94" s="11"/>
      <c r="S94" s="11"/>
      <c r="T94" s="11"/>
    </row>
    <row r="95" spans="4:20">
      <c r="D95" s="13"/>
      <c r="E95" s="2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J28" sqref="J28"/>
    </sheetView>
  </sheetViews>
  <sheetFormatPr defaultRowHeight="14.4"/>
  <cols>
    <col min="1" max="1" width="18.21875" customWidth="1"/>
    <col min="7" max="7" width="18.6640625" customWidth="1"/>
  </cols>
  <sheetData>
    <row r="1" spans="1:2">
      <c r="A1" s="5" t="s">
        <v>0</v>
      </c>
      <c r="B1" s="6">
        <v>2024</v>
      </c>
    </row>
    <row r="2" spans="1:2" ht="15.6">
      <c r="A2" s="7" t="s">
        <v>1</v>
      </c>
      <c r="B2" s="11">
        <v>6734.44</v>
      </c>
    </row>
    <row r="3" spans="1:2" ht="15.6">
      <c r="A3" s="7" t="s">
        <v>2</v>
      </c>
      <c r="B3" s="11">
        <v>14.49</v>
      </c>
    </row>
    <row r="4" spans="1:2" ht="15.6">
      <c r="A4" s="7" t="s">
        <v>3</v>
      </c>
      <c r="B4" s="11">
        <v>1022.51</v>
      </c>
    </row>
    <row r="5" spans="1:2" ht="15.6">
      <c r="A5" s="7" t="s">
        <v>4</v>
      </c>
      <c r="B5" s="11">
        <v>1920.96</v>
      </c>
    </row>
    <row r="6" spans="1:2" ht="15.6">
      <c r="A6" s="7" t="s">
        <v>5</v>
      </c>
      <c r="B6" s="11">
        <v>576.47</v>
      </c>
    </row>
    <row r="7" spans="1:2" ht="15.6">
      <c r="A7" s="7" t="s">
        <v>25</v>
      </c>
      <c r="B7" s="11">
        <v>4025.28</v>
      </c>
    </row>
    <row r="8" spans="1:2" ht="15.6">
      <c r="A8" s="7" t="s">
        <v>6</v>
      </c>
      <c r="B8" s="11">
        <v>0.21</v>
      </c>
    </row>
    <row r="9" spans="1:2" ht="15.6">
      <c r="A9" s="7" t="s">
        <v>7</v>
      </c>
      <c r="B9" s="11">
        <v>42.38</v>
      </c>
    </row>
    <row r="10" spans="1:2" ht="15.6">
      <c r="A10" s="7" t="s">
        <v>8</v>
      </c>
      <c r="B10" s="11">
        <v>1248.8900000000001</v>
      </c>
    </row>
    <row r="11" spans="1:2" ht="15.6">
      <c r="A11" s="7" t="s">
        <v>9</v>
      </c>
      <c r="B11" s="11">
        <v>485.2</v>
      </c>
    </row>
    <row r="12" spans="1:2" ht="15.6">
      <c r="A12" s="7" t="s">
        <v>10</v>
      </c>
      <c r="B12" s="11">
        <v>2463.36</v>
      </c>
    </row>
    <row r="13" spans="1:2" ht="15.6">
      <c r="A13" s="7" t="s">
        <v>11</v>
      </c>
      <c r="B13" s="11">
        <v>7229.86</v>
      </c>
    </row>
    <row r="14" spans="1:2" ht="15.6">
      <c r="A14" s="7" t="s">
        <v>12</v>
      </c>
      <c r="B14" s="11">
        <v>81.41</v>
      </c>
    </row>
    <row r="15" spans="1:2" ht="15.6">
      <c r="A15" s="7" t="s">
        <v>13</v>
      </c>
      <c r="B15" s="11">
        <v>102.88</v>
      </c>
    </row>
    <row r="16" spans="1:2" ht="15.6">
      <c r="A16" s="7" t="s">
        <v>14</v>
      </c>
      <c r="B16" s="11">
        <v>140.5</v>
      </c>
    </row>
    <row r="17" spans="1:7" ht="15.6">
      <c r="A17" s="7" t="s">
        <v>15</v>
      </c>
      <c r="B17" s="11">
        <v>95.27</v>
      </c>
    </row>
    <row r="18" spans="1:7" ht="15.6">
      <c r="A18" s="7" t="s">
        <v>16</v>
      </c>
      <c r="B18" s="11">
        <v>508.67</v>
      </c>
    </row>
    <row r="19" spans="1:7" ht="15.6">
      <c r="A19" s="7" t="s">
        <v>17</v>
      </c>
      <c r="B19" s="11">
        <v>14.69</v>
      </c>
    </row>
    <row r="20" spans="1:7" ht="15.6">
      <c r="A20" s="7" t="s">
        <v>18</v>
      </c>
      <c r="B20" s="11">
        <v>0.35</v>
      </c>
    </row>
    <row r="21" spans="1:7" ht="15.6">
      <c r="A21" s="7" t="s">
        <v>19</v>
      </c>
      <c r="B21" s="11">
        <v>5.56</v>
      </c>
      <c r="G21" s="6" t="s">
        <v>26</v>
      </c>
    </row>
    <row r="22" spans="1:7" ht="15.6">
      <c r="A22" s="7" t="s">
        <v>20</v>
      </c>
      <c r="B22" s="11">
        <v>4905.4799999999996</v>
      </c>
      <c r="G22" t="s">
        <v>0</v>
      </c>
    </row>
    <row r="23" spans="1:7" ht="15.6">
      <c r="A23" s="7" t="s">
        <v>21</v>
      </c>
      <c r="B23" s="11">
        <v>74.680000000000007</v>
      </c>
      <c r="F23">
        <v>1</v>
      </c>
      <c r="G23" t="s">
        <v>11</v>
      </c>
    </row>
    <row r="24" spans="1:7" ht="15.6">
      <c r="A24" s="7" t="s">
        <v>22</v>
      </c>
      <c r="B24" s="11">
        <v>114.34</v>
      </c>
      <c r="F24">
        <v>2</v>
      </c>
      <c r="G24" t="s">
        <v>1</v>
      </c>
    </row>
    <row r="25" spans="1:7" ht="15.6">
      <c r="A25" s="7" t="s">
        <v>23</v>
      </c>
      <c r="B25" s="11">
        <v>4757.84</v>
      </c>
      <c r="F25">
        <v>3</v>
      </c>
      <c r="G25" t="s">
        <v>20</v>
      </c>
    </row>
    <row r="26" spans="1:7" ht="15.6">
      <c r="A26" s="7" t="s">
        <v>24</v>
      </c>
      <c r="B26" s="11">
        <v>1434.15</v>
      </c>
      <c r="F26">
        <v>4</v>
      </c>
      <c r="G26" t="s">
        <v>23</v>
      </c>
    </row>
    <row r="27" spans="1:7" ht="15.6">
      <c r="A27" s="19" t="s">
        <v>28</v>
      </c>
      <c r="F27">
        <v>5</v>
      </c>
      <c r="G27" t="s">
        <v>25</v>
      </c>
    </row>
    <row r="28" spans="1:7">
      <c r="F28">
        <v>6</v>
      </c>
      <c r="G28" t="s">
        <v>10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4"/>
  <sheetViews>
    <sheetView topLeftCell="A14" workbookViewId="0">
      <selection activeCell="R61" sqref="R61"/>
    </sheetView>
  </sheetViews>
  <sheetFormatPr defaultRowHeight="14.4"/>
  <cols>
    <col min="1" max="1" width="18.33203125" customWidth="1"/>
  </cols>
  <sheetData>
    <row r="1" spans="1:21">
      <c r="A1" s="5" t="s">
        <v>0</v>
      </c>
      <c r="B1" s="5">
        <v>2005</v>
      </c>
      <c r="C1" s="5">
        <v>2006</v>
      </c>
      <c r="D1" s="5">
        <v>2007</v>
      </c>
      <c r="E1" s="5">
        <v>2008</v>
      </c>
      <c r="F1" s="5">
        <v>2009</v>
      </c>
      <c r="G1" s="5">
        <v>2010</v>
      </c>
      <c r="H1" s="5">
        <v>2011</v>
      </c>
      <c r="I1" s="5">
        <v>2012</v>
      </c>
      <c r="J1" s="5">
        <v>2013</v>
      </c>
      <c r="K1" s="5">
        <v>2014</v>
      </c>
      <c r="L1" s="5">
        <v>2015</v>
      </c>
      <c r="M1" s="5">
        <v>2016</v>
      </c>
      <c r="N1" s="5">
        <v>2017</v>
      </c>
      <c r="O1" s="5">
        <v>2018</v>
      </c>
      <c r="P1" s="5">
        <v>2019</v>
      </c>
      <c r="Q1" s="5">
        <v>2020</v>
      </c>
      <c r="R1" s="5">
        <v>2021</v>
      </c>
      <c r="S1" s="5">
        <v>2022</v>
      </c>
      <c r="T1" s="5">
        <v>2023</v>
      </c>
      <c r="U1" s="21">
        <v>2024</v>
      </c>
    </row>
    <row r="2" spans="1:21" ht="15.6">
      <c r="A2" s="7" t="s">
        <v>1</v>
      </c>
      <c r="B2" s="16">
        <v>70.5</v>
      </c>
      <c r="C2" s="16">
        <v>72.8</v>
      </c>
      <c r="D2" s="16">
        <v>75.2</v>
      </c>
      <c r="E2" s="16">
        <v>78.900000000000006</v>
      </c>
      <c r="F2" s="16">
        <v>80.599999999999994</v>
      </c>
      <c r="G2" s="16">
        <v>77.5</v>
      </c>
      <c r="H2" s="17">
        <v>79.3</v>
      </c>
      <c r="I2" s="17">
        <v>92.65</v>
      </c>
      <c r="J2" s="17">
        <v>90.48</v>
      </c>
      <c r="K2" s="17">
        <v>84.26</v>
      </c>
      <c r="L2" s="17">
        <v>75.72</v>
      </c>
      <c r="M2" s="17">
        <v>86.32</v>
      </c>
      <c r="N2" s="16">
        <v>88.1</v>
      </c>
      <c r="O2" s="16">
        <v>95.3</v>
      </c>
      <c r="P2" s="17">
        <v>97.7</v>
      </c>
      <c r="Q2" s="17">
        <v>97.25</v>
      </c>
      <c r="R2" s="17">
        <v>109.32</v>
      </c>
      <c r="S2" s="17">
        <v>111.22</v>
      </c>
      <c r="T2" s="11">
        <v>106.02</v>
      </c>
      <c r="U2" s="11">
        <v>110.82</v>
      </c>
    </row>
    <row r="3" spans="1:21" ht="15.6">
      <c r="A3" s="7" t="s">
        <v>2</v>
      </c>
      <c r="B3" s="16">
        <v>4.8</v>
      </c>
      <c r="C3" s="16">
        <v>5</v>
      </c>
      <c r="D3" s="16">
        <v>5.3</v>
      </c>
      <c r="E3" s="16">
        <v>11.9</v>
      </c>
      <c r="F3" s="16">
        <v>12.2</v>
      </c>
      <c r="G3" s="16">
        <v>12.2</v>
      </c>
      <c r="H3" s="17">
        <v>12.8</v>
      </c>
      <c r="I3" s="17">
        <v>6.13</v>
      </c>
      <c r="J3" s="17">
        <v>6.23</v>
      </c>
      <c r="K3" s="17">
        <v>6.5</v>
      </c>
      <c r="L3" s="17">
        <v>5.42</v>
      </c>
      <c r="M3" s="17">
        <v>5.48</v>
      </c>
      <c r="N3" s="16">
        <v>5.3</v>
      </c>
      <c r="O3" s="16">
        <v>2.4</v>
      </c>
      <c r="P3" s="17">
        <v>2.2000000000000002</v>
      </c>
      <c r="Q3" s="17">
        <v>2.2000000000000002</v>
      </c>
      <c r="R3" s="17">
        <v>2.54</v>
      </c>
      <c r="S3" s="17">
        <v>2.54</v>
      </c>
      <c r="T3" s="11">
        <v>3.63</v>
      </c>
      <c r="U3" s="11">
        <v>3.63</v>
      </c>
    </row>
    <row r="4" spans="1:21" ht="15.6">
      <c r="A4" s="7" t="s">
        <v>3</v>
      </c>
      <c r="B4" s="16">
        <v>39.799999999999997</v>
      </c>
      <c r="C4" s="16">
        <v>41.5</v>
      </c>
      <c r="D4" s="16">
        <v>43.3</v>
      </c>
      <c r="E4" s="16">
        <v>51.8</v>
      </c>
      <c r="F4" s="16">
        <v>53.4</v>
      </c>
      <c r="G4" s="16">
        <v>46</v>
      </c>
      <c r="H4" s="17">
        <v>47.6</v>
      </c>
      <c r="I4" s="17">
        <v>51.51</v>
      </c>
      <c r="J4" s="17">
        <v>50.81</v>
      </c>
      <c r="K4" s="17">
        <v>52.54</v>
      </c>
      <c r="L4" s="17">
        <v>51.1</v>
      </c>
      <c r="M4" s="17">
        <v>55.42</v>
      </c>
      <c r="N4" s="16">
        <v>54.8</v>
      </c>
      <c r="O4" s="16">
        <v>50.2</v>
      </c>
      <c r="P4" s="17">
        <v>49.45</v>
      </c>
      <c r="Q4" s="17">
        <v>48.78</v>
      </c>
      <c r="R4" s="17">
        <v>58.33</v>
      </c>
      <c r="S4" s="17">
        <v>58.71</v>
      </c>
      <c r="T4" s="11">
        <v>53.86</v>
      </c>
      <c r="U4" s="11">
        <v>53.86</v>
      </c>
    </row>
    <row r="5" spans="1:21" ht="15.6">
      <c r="A5" s="7" t="s">
        <v>4</v>
      </c>
      <c r="B5" s="16">
        <v>26.6</v>
      </c>
      <c r="C5" s="16">
        <v>27.8</v>
      </c>
      <c r="D5" s="16">
        <v>29</v>
      </c>
      <c r="E5" s="16">
        <v>30.9</v>
      </c>
      <c r="F5" s="16">
        <v>31.5</v>
      </c>
      <c r="G5" s="16">
        <v>30.8</v>
      </c>
      <c r="H5" s="17">
        <v>31.9</v>
      </c>
      <c r="I5" s="17">
        <v>33.06</v>
      </c>
      <c r="J5" s="17">
        <v>34.31</v>
      </c>
      <c r="K5" s="17">
        <v>34.64</v>
      </c>
      <c r="L5" s="17">
        <v>34.799999999999997</v>
      </c>
      <c r="M5" s="17">
        <v>35.15</v>
      </c>
      <c r="N5" s="16">
        <v>35.200000000000003</v>
      </c>
      <c r="O5" s="16">
        <v>35</v>
      </c>
      <c r="P5" s="17">
        <v>34.97</v>
      </c>
      <c r="Q5" s="17">
        <v>35.32</v>
      </c>
      <c r="R5" s="17">
        <v>42.61</v>
      </c>
      <c r="S5" s="17">
        <v>44.08</v>
      </c>
      <c r="T5" s="11">
        <v>42.67</v>
      </c>
      <c r="U5" s="11">
        <v>42.69</v>
      </c>
    </row>
    <row r="6" spans="1:21" ht="15.6">
      <c r="A6" s="7" t="s">
        <v>5</v>
      </c>
      <c r="B6" s="16">
        <v>11.2</v>
      </c>
      <c r="C6" s="16">
        <v>11.9</v>
      </c>
      <c r="D6" s="16">
        <v>12.7</v>
      </c>
      <c r="E6" s="16">
        <v>13.4</v>
      </c>
      <c r="F6" s="16">
        <v>14.1</v>
      </c>
      <c r="G6" s="16">
        <v>13.9</v>
      </c>
      <c r="H6" s="17">
        <v>14.8</v>
      </c>
      <c r="I6" s="17">
        <v>18.68</v>
      </c>
      <c r="J6" s="17">
        <v>20.79</v>
      </c>
      <c r="K6" s="17">
        <v>22.08</v>
      </c>
      <c r="L6" s="17">
        <v>25.76</v>
      </c>
      <c r="M6" s="17">
        <v>27.06</v>
      </c>
      <c r="N6" s="16">
        <v>27.4</v>
      </c>
      <c r="O6" s="16">
        <v>26.8</v>
      </c>
      <c r="P6" s="17">
        <v>25.79</v>
      </c>
      <c r="Q6" s="17">
        <v>24.54</v>
      </c>
      <c r="R6" s="17">
        <v>24.92</v>
      </c>
      <c r="S6" s="17">
        <v>24.54</v>
      </c>
      <c r="T6" s="11">
        <v>23.91</v>
      </c>
      <c r="U6" s="11">
        <v>23.91</v>
      </c>
    </row>
    <row r="7" spans="1:21" ht="15.6">
      <c r="A7" s="7" t="s">
        <v>25</v>
      </c>
      <c r="B7" s="16">
        <v>47.9</v>
      </c>
      <c r="C7" s="16">
        <v>50.6</v>
      </c>
      <c r="D7" s="16">
        <v>53.4</v>
      </c>
      <c r="E7" s="16">
        <v>60.8</v>
      </c>
      <c r="F7" s="16">
        <v>61.9</v>
      </c>
      <c r="G7" s="16">
        <v>63.5</v>
      </c>
      <c r="H7" s="17">
        <v>64.7</v>
      </c>
      <c r="I7" s="17">
        <v>70.58</v>
      </c>
      <c r="J7" s="17">
        <v>66.5</v>
      </c>
      <c r="K7" s="17">
        <v>66.5</v>
      </c>
      <c r="L7" s="17">
        <v>64.69</v>
      </c>
      <c r="M7" s="17">
        <v>64.69</v>
      </c>
      <c r="N7" s="16">
        <v>65.099999999999994</v>
      </c>
      <c r="O7" s="16">
        <v>68.7</v>
      </c>
      <c r="P7" s="17">
        <v>69.540000000000006</v>
      </c>
      <c r="Q7" s="17">
        <v>59.26</v>
      </c>
      <c r="R7" s="17">
        <v>60.09</v>
      </c>
      <c r="S7" s="17">
        <v>60.6</v>
      </c>
      <c r="T7" s="11">
        <v>59.68</v>
      </c>
      <c r="U7" s="11">
        <v>59.9</v>
      </c>
    </row>
    <row r="8" spans="1:21" ht="15.6">
      <c r="A8" s="7" t="s">
        <v>6</v>
      </c>
      <c r="B8" s="16">
        <v>7.0000000000000007E-2</v>
      </c>
      <c r="C8" s="16">
        <v>0.08</v>
      </c>
      <c r="D8" s="16">
        <v>0.08</v>
      </c>
      <c r="E8" s="16">
        <v>0.09</v>
      </c>
      <c r="F8" s="16">
        <v>0.09</v>
      </c>
      <c r="G8" s="16">
        <v>0.1</v>
      </c>
      <c r="H8" s="17">
        <v>0.1</v>
      </c>
      <c r="I8" s="17">
        <v>0.09</v>
      </c>
      <c r="J8" s="17">
        <v>0.09</v>
      </c>
      <c r="K8" s="17">
        <v>0.09</v>
      </c>
      <c r="L8" s="17">
        <v>0.09</v>
      </c>
      <c r="M8" s="17">
        <v>0.09</v>
      </c>
      <c r="N8" s="16">
        <v>0.09</v>
      </c>
      <c r="O8" s="16">
        <v>0.08</v>
      </c>
      <c r="P8" s="17">
        <v>7.0000000000000007E-2</v>
      </c>
      <c r="Q8" s="17">
        <v>7.0000000000000007E-2</v>
      </c>
      <c r="R8" s="17">
        <v>0.1</v>
      </c>
      <c r="S8" s="17">
        <v>0.06</v>
      </c>
      <c r="T8" s="11">
        <v>0.06</v>
      </c>
      <c r="U8" s="11">
        <v>0.06</v>
      </c>
    </row>
    <row r="9" spans="1:21" ht="15.6">
      <c r="A9" s="7" t="s">
        <v>7</v>
      </c>
      <c r="B9" s="16">
        <v>1.9</v>
      </c>
      <c r="C9" s="16">
        <v>2.1</v>
      </c>
      <c r="D9" s="16">
        <v>2.4</v>
      </c>
      <c r="E9" s="16">
        <v>2.7</v>
      </c>
      <c r="F9" s="16">
        <v>2.9</v>
      </c>
      <c r="G9" s="16">
        <v>3</v>
      </c>
      <c r="H9" s="17">
        <v>3.2</v>
      </c>
      <c r="I9" s="17">
        <v>0.52</v>
      </c>
      <c r="J9" s="17">
        <v>0.54</v>
      </c>
      <c r="K9" s="17">
        <v>0.54</v>
      </c>
      <c r="L9" s="17">
        <v>12.53</v>
      </c>
      <c r="M9" s="17">
        <v>9.02</v>
      </c>
      <c r="N9" s="16">
        <v>8.1</v>
      </c>
      <c r="O9" s="16">
        <v>6.2</v>
      </c>
      <c r="P9" s="17">
        <v>5.61</v>
      </c>
      <c r="Q9" s="17">
        <v>5.64</v>
      </c>
      <c r="R9" s="17">
        <v>5.71</v>
      </c>
      <c r="S9" s="17">
        <v>5.86</v>
      </c>
      <c r="T9" s="11">
        <v>5.9</v>
      </c>
      <c r="U9" s="11">
        <v>5.77</v>
      </c>
    </row>
    <row r="10" spans="1:21" ht="15.6">
      <c r="A10" s="7" t="s">
        <v>8</v>
      </c>
      <c r="B10" s="16">
        <v>52.8</v>
      </c>
      <c r="C10" s="16">
        <v>55.4</v>
      </c>
      <c r="D10" s="16">
        <v>58.1</v>
      </c>
      <c r="E10" s="16">
        <v>102.3</v>
      </c>
      <c r="F10" s="16">
        <v>104.4</v>
      </c>
      <c r="G10" s="16">
        <v>110.2</v>
      </c>
      <c r="H10" s="17">
        <v>111.8</v>
      </c>
      <c r="I10" s="17">
        <v>97.4</v>
      </c>
      <c r="J10" s="17">
        <v>102.71</v>
      </c>
      <c r="K10" s="17">
        <v>106.61</v>
      </c>
      <c r="L10" s="17">
        <v>96.63</v>
      </c>
      <c r="M10" s="17">
        <v>101.53</v>
      </c>
      <c r="N10" s="16">
        <v>101.2</v>
      </c>
      <c r="O10" s="16">
        <v>100.9</v>
      </c>
      <c r="P10" s="17">
        <v>101.8</v>
      </c>
      <c r="Q10" s="17">
        <v>128.76</v>
      </c>
      <c r="R10" s="17">
        <v>129.63999999999999</v>
      </c>
      <c r="S10" s="17">
        <v>108.31</v>
      </c>
      <c r="T10" s="11">
        <v>109.2</v>
      </c>
      <c r="U10" s="11">
        <v>45.71</v>
      </c>
    </row>
    <row r="11" spans="1:21" ht="15.6">
      <c r="A11" s="7" t="s">
        <v>9</v>
      </c>
      <c r="B11" s="16">
        <v>56.7</v>
      </c>
      <c r="C11" s="16">
        <v>58</v>
      </c>
      <c r="D11" s="16">
        <v>59.1</v>
      </c>
      <c r="E11" s="16">
        <v>55.6</v>
      </c>
      <c r="F11" s="16">
        <v>57</v>
      </c>
      <c r="G11" s="16">
        <v>57.4</v>
      </c>
      <c r="H11" s="17">
        <v>58.7</v>
      </c>
      <c r="I11" s="17">
        <v>61.01</v>
      </c>
      <c r="J11" s="17">
        <v>34.46</v>
      </c>
      <c r="K11" s="17">
        <v>118.5</v>
      </c>
      <c r="L11" s="17">
        <v>84.56</v>
      </c>
      <c r="M11" s="17">
        <v>81.510000000000005</v>
      </c>
      <c r="N11" s="16">
        <v>83</v>
      </c>
      <c r="O11" s="16">
        <v>115.4</v>
      </c>
      <c r="P11" s="17">
        <v>116.88</v>
      </c>
      <c r="Q11" s="17">
        <v>111.26</v>
      </c>
      <c r="R11" s="17">
        <v>100.92</v>
      </c>
      <c r="S11" s="17">
        <v>101.94</v>
      </c>
      <c r="T11" s="11">
        <v>102.4</v>
      </c>
      <c r="U11" s="11">
        <v>47.95</v>
      </c>
    </row>
    <row r="12" spans="1:21" ht="15.6">
      <c r="A12" s="7" t="s">
        <v>10</v>
      </c>
      <c r="B12" s="16">
        <v>12.6</v>
      </c>
      <c r="C12" s="16">
        <v>13.8</v>
      </c>
      <c r="D12" s="16">
        <v>14.9</v>
      </c>
      <c r="E12" s="16">
        <v>31.7</v>
      </c>
      <c r="F12" s="16">
        <v>33</v>
      </c>
      <c r="G12" s="16">
        <v>36.9</v>
      </c>
      <c r="H12" s="17">
        <v>38.1</v>
      </c>
      <c r="I12" s="17">
        <v>25.76</v>
      </c>
      <c r="J12" s="17">
        <v>26.27</v>
      </c>
      <c r="K12" s="17">
        <v>27.8</v>
      </c>
      <c r="L12" s="17">
        <v>28.35</v>
      </c>
      <c r="M12" s="17">
        <v>24.31</v>
      </c>
      <c r="N12" s="16">
        <v>25.1</v>
      </c>
      <c r="O12" s="16">
        <v>26.1</v>
      </c>
      <c r="P12" s="17">
        <v>26.64</v>
      </c>
      <c r="Q12" s="17">
        <v>29.48</v>
      </c>
      <c r="R12" s="17">
        <v>32.24</v>
      </c>
      <c r="S12" s="17">
        <v>34.340000000000003</v>
      </c>
      <c r="T12" s="11">
        <v>33.950000000000003</v>
      </c>
      <c r="U12" s="11">
        <v>34.869999999999997</v>
      </c>
    </row>
    <row r="13" spans="1:21" ht="15.6">
      <c r="A13" s="7" t="s">
        <v>11</v>
      </c>
      <c r="B13" s="16">
        <v>67.400000000000006</v>
      </c>
      <c r="C13" s="16">
        <v>70.2</v>
      </c>
      <c r="D13" s="16">
        <v>73.400000000000006</v>
      </c>
      <c r="E13" s="16">
        <v>83</v>
      </c>
      <c r="F13" s="16">
        <v>85</v>
      </c>
      <c r="G13" s="16">
        <v>80.5</v>
      </c>
      <c r="H13" s="17">
        <v>82</v>
      </c>
      <c r="I13" s="17">
        <v>82</v>
      </c>
      <c r="J13" s="17">
        <v>83</v>
      </c>
      <c r="K13" s="17">
        <v>61.31</v>
      </c>
      <c r="L13" s="17">
        <v>69.55</v>
      </c>
      <c r="M13" s="17">
        <v>74.680000000000007</v>
      </c>
      <c r="N13" s="16">
        <v>75.3</v>
      </c>
      <c r="O13" s="16">
        <v>75.8</v>
      </c>
      <c r="P13" s="17">
        <v>76.94</v>
      </c>
      <c r="Q13" s="17">
        <v>84.26</v>
      </c>
      <c r="R13" s="17">
        <v>90.37</v>
      </c>
      <c r="S13" s="17">
        <v>101.12</v>
      </c>
      <c r="T13" s="11">
        <v>103.5</v>
      </c>
      <c r="U13" s="11">
        <v>123.34</v>
      </c>
    </row>
    <row r="14" spans="1:21" ht="15.6">
      <c r="A14" s="7" t="s">
        <v>12</v>
      </c>
      <c r="B14" s="16">
        <v>5</v>
      </c>
      <c r="C14" s="16">
        <v>5.3</v>
      </c>
      <c r="D14" s="16">
        <v>5.6</v>
      </c>
      <c r="E14" s="16">
        <v>6.1</v>
      </c>
      <c r="F14" s="16">
        <v>6.4</v>
      </c>
      <c r="G14" s="16">
        <v>32.799999999999997</v>
      </c>
      <c r="H14" s="17">
        <v>33.700000000000003</v>
      </c>
      <c r="I14" s="17">
        <v>6.58</v>
      </c>
      <c r="J14" s="17">
        <v>6.7</v>
      </c>
      <c r="K14" s="17">
        <v>7.01</v>
      </c>
      <c r="L14" s="17">
        <v>6.95</v>
      </c>
      <c r="M14" s="17">
        <v>6.65</v>
      </c>
      <c r="N14" s="16">
        <v>6.6</v>
      </c>
      <c r="O14" s="16">
        <v>6.5</v>
      </c>
      <c r="P14" s="17">
        <v>6.46</v>
      </c>
      <c r="Q14" s="17">
        <v>6.18</v>
      </c>
      <c r="R14" s="17">
        <v>6.02</v>
      </c>
      <c r="S14" s="17">
        <v>6.02</v>
      </c>
      <c r="T14" s="11">
        <v>6.25</v>
      </c>
      <c r="U14" s="11">
        <v>6.12</v>
      </c>
    </row>
    <row r="15" spans="1:21" ht="15.6">
      <c r="A15" s="7" t="s">
        <v>13</v>
      </c>
      <c r="B15" s="16">
        <v>5.4</v>
      </c>
      <c r="C15" s="16">
        <v>5.7</v>
      </c>
      <c r="D15" s="16">
        <v>6</v>
      </c>
      <c r="E15" s="16">
        <v>6.6</v>
      </c>
      <c r="F15" s="16">
        <v>6.8</v>
      </c>
      <c r="G15" s="16">
        <v>5.6</v>
      </c>
      <c r="H15" s="17">
        <v>5.8</v>
      </c>
      <c r="I15" s="17">
        <v>6.96</v>
      </c>
      <c r="J15" s="17">
        <v>7.04</v>
      </c>
      <c r="K15" s="17">
        <v>7.1</v>
      </c>
      <c r="L15" s="17">
        <v>7.11</v>
      </c>
      <c r="M15" s="17">
        <v>7.24</v>
      </c>
      <c r="N15" s="16">
        <v>7.25</v>
      </c>
      <c r="O15" s="16">
        <v>7.3</v>
      </c>
      <c r="P15" s="17">
        <v>7.28</v>
      </c>
      <c r="Q15" s="17">
        <v>7.3</v>
      </c>
      <c r="R15" s="17">
        <v>7.42</v>
      </c>
      <c r="S15" s="17">
        <v>7.77</v>
      </c>
      <c r="T15" s="11">
        <v>7.94</v>
      </c>
      <c r="U15" s="11">
        <v>7.95</v>
      </c>
    </row>
    <row r="16" spans="1:21" ht="15.6">
      <c r="A16" s="7" t="s">
        <v>14</v>
      </c>
      <c r="B16" s="16">
        <v>9.1</v>
      </c>
      <c r="C16" s="16">
        <v>9.4</v>
      </c>
      <c r="D16" s="16">
        <v>9.8000000000000007</v>
      </c>
      <c r="E16" s="16">
        <v>10.3</v>
      </c>
      <c r="F16" s="16">
        <v>10.6</v>
      </c>
      <c r="G16" s="16">
        <v>9.6999999999999993</v>
      </c>
      <c r="H16" s="17">
        <v>10</v>
      </c>
      <c r="I16" s="17">
        <v>10.54</v>
      </c>
      <c r="J16" s="17">
        <v>10.84</v>
      </c>
      <c r="K16" s="17">
        <v>11.2</v>
      </c>
      <c r="L16" s="17">
        <v>10.91</v>
      </c>
      <c r="M16" s="17">
        <v>10.94</v>
      </c>
      <c r="N16" s="16">
        <v>11</v>
      </c>
      <c r="O16" s="16">
        <v>11.2</v>
      </c>
      <c r="P16" s="17">
        <v>11.43</v>
      </c>
      <c r="Q16" s="17">
        <v>11.43</v>
      </c>
      <c r="R16" s="17">
        <v>11.68</v>
      </c>
      <c r="S16" s="17">
        <v>11.68</v>
      </c>
      <c r="T16" s="11">
        <v>11.68</v>
      </c>
      <c r="U16" s="11">
        <v>11.68</v>
      </c>
    </row>
    <row r="17" spans="1:21" ht="15.6">
      <c r="A17" s="7" t="s">
        <v>15</v>
      </c>
      <c r="B17" s="16">
        <v>5.6</v>
      </c>
      <c r="C17" s="16">
        <v>5.9</v>
      </c>
      <c r="D17" s="16">
        <v>6.2</v>
      </c>
      <c r="E17" s="16">
        <v>6.6</v>
      </c>
      <c r="F17" s="16">
        <v>6.9</v>
      </c>
      <c r="G17" s="16">
        <v>6.2</v>
      </c>
      <c r="H17" s="17">
        <v>6.2</v>
      </c>
      <c r="I17" s="17">
        <v>7</v>
      </c>
      <c r="J17" s="17">
        <v>7.32</v>
      </c>
      <c r="K17" s="17">
        <v>7.32</v>
      </c>
      <c r="L17" s="17">
        <v>7.25</v>
      </c>
      <c r="M17" s="17">
        <v>7.34</v>
      </c>
      <c r="N17" s="16">
        <v>7.3</v>
      </c>
      <c r="O17" s="16">
        <v>7</v>
      </c>
      <c r="P17" s="17">
        <v>6.9</v>
      </c>
      <c r="Q17" s="17">
        <v>6.94</v>
      </c>
      <c r="R17" s="17">
        <v>7</v>
      </c>
      <c r="S17" s="17">
        <v>7.24</v>
      </c>
      <c r="T17" s="11">
        <v>7.27</v>
      </c>
      <c r="U17" s="11">
        <v>7.3</v>
      </c>
    </row>
    <row r="18" spans="1:21" ht="15.6">
      <c r="A18" s="7" t="s">
        <v>16</v>
      </c>
      <c r="B18" s="16">
        <v>20.2</v>
      </c>
      <c r="C18" s="16">
        <v>21.1</v>
      </c>
      <c r="D18" s="16">
        <v>22.2</v>
      </c>
      <c r="E18" s="16">
        <v>24.8</v>
      </c>
      <c r="F18" s="16">
        <v>25.3</v>
      </c>
      <c r="G18" s="16">
        <v>25.8</v>
      </c>
      <c r="H18" s="17">
        <v>26.9</v>
      </c>
      <c r="I18" s="17">
        <v>27.49</v>
      </c>
      <c r="J18" s="17">
        <v>25.06</v>
      </c>
      <c r="K18" s="17">
        <v>24.73</v>
      </c>
      <c r="L18" s="17">
        <v>24.47</v>
      </c>
      <c r="M18" s="17">
        <v>24.49</v>
      </c>
      <c r="N18" s="16">
        <v>24.3</v>
      </c>
      <c r="O18" s="16">
        <v>23.1</v>
      </c>
      <c r="P18" s="17">
        <v>22.66</v>
      </c>
      <c r="Q18" s="17">
        <v>23.61</v>
      </c>
      <c r="R18" s="17">
        <v>23.67</v>
      </c>
      <c r="S18" s="17">
        <v>23.7</v>
      </c>
      <c r="T18" s="11">
        <v>23.55</v>
      </c>
      <c r="U18" s="11">
        <v>23.55</v>
      </c>
    </row>
    <row r="19" spans="1:21" ht="15.6">
      <c r="A19" s="7" t="s">
        <v>17</v>
      </c>
      <c r="B19" s="16">
        <v>0.13</v>
      </c>
      <c r="C19" s="16">
        <v>0.14000000000000001</v>
      </c>
      <c r="D19" s="16">
        <v>0.15</v>
      </c>
      <c r="E19" s="16">
        <v>0.16</v>
      </c>
      <c r="F19" s="16">
        <v>0.17</v>
      </c>
      <c r="G19" s="16">
        <v>0.19</v>
      </c>
      <c r="H19" s="17">
        <v>0.2</v>
      </c>
      <c r="I19" s="17">
        <v>0.17</v>
      </c>
      <c r="J19" s="17">
        <v>0.16</v>
      </c>
      <c r="K19" s="17">
        <v>0.17</v>
      </c>
      <c r="L19" s="17">
        <v>0.11</v>
      </c>
      <c r="M19" s="17">
        <v>0.12</v>
      </c>
      <c r="N19" s="16">
        <v>0.11</v>
      </c>
      <c r="O19" s="16">
        <v>0.11</v>
      </c>
      <c r="P19" s="17">
        <v>0.1</v>
      </c>
      <c r="Q19" s="17">
        <v>0.15</v>
      </c>
      <c r="R19" s="17">
        <v>0.19</v>
      </c>
      <c r="S19" s="17">
        <v>0.19</v>
      </c>
      <c r="T19" s="11">
        <v>0.19</v>
      </c>
      <c r="U19" s="11">
        <v>0.24</v>
      </c>
    </row>
    <row r="20" spans="1:21" ht="15.6">
      <c r="A20" s="7" t="s">
        <v>18</v>
      </c>
      <c r="B20" s="16">
        <v>0.04</v>
      </c>
      <c r="C20" s="16">
        <v>0.04</v>
      </c>
      <c r="D20" s="16">
        <v>0.05</v>
      </c>
      <c r="E20" s="16">
        <v>0.05</v>
      </c>
      <c r="F20" s="16">
        <v>0.05</v>
      </c>
      <c r="G20" s="16">
        <v>0.09</v>
      </c>
      <c r="H20" s="17">
        <v>0.1</v>
      </c>
      <c r="I20" s="17">
        <v>0.04</v>
      </c>
      <c r="J20" s="17">
        <v>0.04</v>
      </c>
      <c r="K20" s="17">
        <v>0.06</v>
      </c>
      <c r="L20" s="17">
        <v>0.03</v>
      </c>
      <c r="M20" s="17">
        <v>0.04</v>
      </c>
      <c r="N20" s="16">
        <v>0.04</v>
      </c>
      <c r="O20" s="16">
        <v>0.03</v>
      </c>
      <c r="P20" s="17">
        <v>0.03</v>
      </c>
      <c r="Q20" s="17">
        <v>0.04</v>
      </c>
      <c r="R20" s="17">
        <v>0.03</v>
      </c>
      <c r="S20" s="17">
        <v>0.04</v>
      </c>
      <c r="T20" s="11">
        <v>0.04</v>
      </c>
      <c r="U20" s="11">
        <v>0.04</v>
      </c>
    </row>
    <row r="21" spans="1:21" ht="15.6">
      <c r="A21" s="7" t="s">
        <v>19</v>
      </c>
      <c r="B21" s="16">
        <v>0.9</v>
      </c>
      <c r="C21" s="16">
        <v>1</v>
      </c>
      <c r="D21" s="16">
        <v>1.1000000000000001</v>
      </c>
      <c r="E21" s="16">
        <v>1.3</v>
      </c>
      <c r="F21" s="16">
        <v>1.4</v>
      </c>
      <c r="G21" s="16">
        <v>1.4</v>
      </c>
      <c r="H21" s="17">
        <v>1.5</v>
      </c>
      <c r="I21" s="17">
        <v>1.62</v>
      </c>
      <c r="J21" s="17">
        <v>1.63</v>
      </c>
      <c r="K21" s="17">
        <v>1.71</v>
      </c>
      <c r="L21" s="17">
        <v>1.1499999999999999</v>
      </c>
      <c r="M21" s="17">
        <v>1.2</v>
      </c>
      <c r="N21" s="16">
        <v>1.22</v>
      </c>
      <c r="O21" s="16">
        <v>1.25</v>
      </c>
      <c r="P21" s="17">
        <v>1.29</v>
      </c>
      <c r="Q21" s="17">
        <v>1.3</v>
      </c>
      <c r="R21" s="17">
        <v>1.3</v>
      </c>
      <c r="S21" s="17">
        <v>1.3</v>
      </c>
      <c r="T21" s="11">
        <v>1.3</v>
      </c>
      <c r="U21" s="11">
        <v>1.31</v>
      </c>
    </row>
    <row r="22" spans="1:21" ht="15.6">
      <c r="A22" s="7" t="s">
        <v>20</v>
      </c>
      <c r="B22" s="16">
        <v>96.3</v>
      </c>
      <c r="C22" s="16">
        <v>99.6</v>
      </c>
      <c r="D22" s="16">
        <v>102.2</v>
      </c>
      <c r="E22" s="16">
        <v>110.8</v>
      </c>
      <c r="F22" s="16">
        <v>113.7</v>
      </c>
      <c r="G22" s="16">
        <v>123.8</v>
      </c>
      <c r="H22" s="17">
        <v>125.4</v>
      </c>
      <c r="I22" s="17">
        <v>111.36</v>
      </c>
      <c r="J22" s="17">
        <v>118.04</v>
      </c>
      <c r="K22" s="17">
        <v>123.93</v>
      </c>
      <c r="L22" s="17">
        <v>94.61</v>
      </c>
      <c r="M22" s="17">
        <v>94.99</v>
      </c>
      <c r="N22" s="16">
        <v>94.2</v>
      </c>
      <c r="O22" s="16">
        <v>93.5</v>
      </c>
      <c r="P22" s="17">
        <v>92.41</v>
      </c>
      <c r="Q22" s="17">
        <v>97.64</v>
      </c>
      <c r="R22" s="17">
        <v>102.19</v>
      </c>
      <c r="S22" s="17">
        <v>109.37</v>
      </c>
      <c r="T22" s="11">
        <v>108.1</v>
      </c>
      <c r="U22" s="11">
        <v>114.77</v>
      </c>
    </row>
    <row r="23" spans="1:21" ht="15.6">
      <c r="A23" s="7" t="s">
        <v>21</v>
      </c>
      <c r="B23" s="16">
        <v>6.8</v>
      </c>
      <c r="C23" s="16">
        <v>6.8</v>
      </c>
      <c r="D23" s="16">
        <v>6.8</v>
      </c>
      <c r="E23" s="16">
        <v>6.8</v>
      </c>
      <c r="F23" s="16">
        <v>7.1</v>
      </c>
      <c r="G23" s="16">
        <v>7.6</v>
      </c>
      <c r="H23" s="18">
        <f>(G23+I23)/2</f>
        <v>8</v>
      </c>
      <c r="I23" s="17">
        <v>8.4</v>
      </c>
      <c r="J23" s="17">
        <v>8.61</v>
      </c>
      <c r="K23" s="17">
        <v>8.77</v>
      </c>
      <c r="L23" s="17">
        <v>4.6500000000000004</v>
      </c>
      <c r="M23" s="17">
        <v>3.88</v>
      </c>
      <c r="N23" s="16">
        <v>3.5</v>
      </c>
      <c r="O23" s="16">
        <v>3.2</v>
      </c>
      <c r="P23" s="17">
        <v>2.27</v>
      </c>
      <c r="Q23" s="17">
        <v>2.19</v>
      </c>
      <c r="R23" s="17">
        <v>2.33</v>
      </c>
      <c r="S23" s="17">
        <v>2.2999999999999998</v>
      </c>
      <c r="T23" s="11">
        <v>2.2799999999999998</v>
      </c>
      <c r="U23" s="11">
        <v>1.83</v>
      </c>
    </row>
    <row r="24" spans="1:21" ht="15.6">
      <c r="A24" s="7" t="s">
        <v>22</v>
      </c>
      <c r="B24" s="16">
        <v>10.199999999999999</v>
      </c>
      <c r="C24" s="16">
        <v>10.8</v>
      </c>
      <c r="D24" s="16">
        <v>11.5</v>
      </c>
      <c r="E24" s="16">
        <v>12.4</v>
      </c>
      <c r="F24" s="16">
        <v>13</v>
      </c>
      <c r="G24" s="16">
        <v>7.4</v>
      </c>
      <c r="H24" s="17">
        <v>7.8</v>
      </c>
      <c r="I24" s="17">
        <v>13.58</v>
      </c>
      <c r="J24" s="17">
        <v>13.64</v>
      </c>
      <c r="K24" s="17">
        <v>13.64</v>
      </c>
      <c r="L24" s="17">
        <v>14.62</v>
      </c>
      <c r="M24" s="17">
        <v>14.47</v>
      </c>
      <c r="N24" s="16">
        <v>14.3</v>
      </c>
      <c r="O24" s="16">
        <v>11</v>
      </c>
      <c r="P24" s="17">
        <v>10.66</v>
      </c>
      <c r="Q24" s="17">
        <v>10.75</v>
      </c>
      <c r="R24" s="17">
        <v>10.68</v>
      </c>
      <c r="S24" s="17">
        <v>11.67</v>
      </c>
      <c r="T24" s="11">
        <v>11.68</v>
      </c>
      <c r="U24" s="11">
        <v>11.68</v>
      </c>
    </row>
    <row r="25" spans="1:21" ht="15.6">
      <c r="A25" s="7" t="s">
        <v>23</v>
      </c>
      <c r="B25" s="16">
        <v>24.9</v>
      </c>
      <c r="C25" s="16">
        <v>26.1</v>
      </c>
      <c r="D25" s="16">
        <v>27.4</v>
      </c>
      <c r="E25" s="16">
        <v>29.6</v>
      </c>
      <c r="F25" s="16">
        <v>30.4</v>
      </c>
      <c r="G25" s="16">
        <v>31.2</v>
      </c>
      <c r="H25" s="17">
        <v>32.4</v>
      </c>
      <c r="I25" s="17">
        <v>2.35</v>
      </c>
      <c r="J25" s="17">
        <v>37.26</v>
      </c>
      <c r="K25" s="17">
        <v>41.74</v>
      </c>
      <c r="L25" s="17">
        <v>67</v>
      </c>
      <c r="M25" s="17">
        <v>67.400000000000006</v>
      </c>
      <c r="N25" s="16">
        <v>69.5</v>
      </c>
      <c r="O25" s="16">
        <v>70.8</v>
      </c>
      <c r="P25" s="17">
        <v>72.59</v>
      </c>
      <c r="Q25" s="17">
        <v>73.78</v>
      </c>
      <c r="R25" s="17">
        <v>73.86</v>
      </c>
      <c r="S25" s="17">
        <v>89.93</v>
      </c>
      <c r="T25" s="11">
        <v>90.1</v>
      </c>
      <c r="U25" s="11">
        <v>93.29</v>
      </c>
    </row>
    <row r="26" spans="1:21" ht="15.6">
      <c r="A26" s="7" t="s">
        <v>24</v>
      </c>
      <c r="B26" s="16">
        <v>28.7</v>
      </c>
      <c r="C26" s="16">
        <v>30.2</v>
      </c>
      <c r="D26" s="16">
        <v>31.7</v>
      </c>
      <c r="E26" s="16">
        <v>39.5</v>
      </c>
      <c r="F26" s="16">
        <v>41</v>
      </c>
      <c r="G26" s="16">
        <v>40.9</v>
      </c>
      <c r="H26" s="17">
        <v>42</v>
      </c>
      <c r="I26" s="17">
        <v>44.7</v>
      </c>
      <c r="J26" s="17">
        <v>45.5</v>
      </c>
      <c r="K26" s="17">
        <v>46.6</v>
      </c>
      <c r="L26" s="17">
        <v>48.07</v>
      </c>
      <c r="M26" s="17">
        <v>49</v>
      </c>
      <c r="N26" s="16">
        <v>49.4</v>
      </c>
      <c r="O26" s="16">
        <v>49.8</v>
      </c>
      <c r="P26" s="17">
        <v>50.47</v>
      </c>
      <c r="Q26" s="17">
        <v>51.6</v>
      </c>
      <c r="R26" s="17">
        <v>55.1</v>
      </c>
      <c r="S26" s="17">
        <v>65.150000000000006</v>
      </c>
      <c r="T26" s="11">
        <v>60.4</v>
      </c>
      <c r="U26" s="11">
        <v>65.5</v>
      </c>
    </row>
    <row r="27" spans="1:21">
      <c r="B27" s="12"/>
      <c r="C27" s="12"/>
      <c r="D27" s="12"/>
      <c r="E27" s="12"/>
      <c r="T27" s="10"/>
      <c r="U27" s="20"/>
    </row>
    <row r="28" spans="1:21">
      <c r="B28" s="13"/>
      <c r="C28" s="14"/>
      <c r="D28" s="14"/>
      <c r="E28" s="14"/>
    </row>
    <row r="29" spans="1:21">
      <c r="B29" s="13"/>
      <c r="C29" s="14"/>
      <c r="D29" s="14"/>
      <c r="E29" s="14"/>
    </row>
    <row r="30" spans="1:21">
      <c r="B30" s="13"/>
      <c r="C30" s="14"/>
      <c r="D30" s="14"/>
      <c r="E30" s="14"/>
    </row>
    <row r="31" spans="1:21">
      <c r="B31" s="13"/>
      <c r="C31" s="14"/>
      <c r="D31" s="14"/>
      <c r="E31" s="14"/>
    </row>
    <row r="32" spans="1:21">
      <c r="B32" s="13"/>
      <c r="C32" s="14"/>
      <c r="D32" s="14"/>
      <c r="E32" s="14"/>
    </row>
    <row r="33" spans="2:23">
      <c r="B33" s="13"/>
      <c r="C33" s="14"/>
      <c r="D33" s="14"/>
      <c r="E33" s="14"/>
    </row>
    <row r="34" spans="2:23">
      <c r="B34" s="13"/>
      <c r="C34" s="14"/>
      <c r="D34" s="14"/>
      <c r="E34" s="14"/>
    </row>
    <row r="35" spans="2:23">
      <c r="B35" s="13"/>
      <c r="C35" s="14"/>
      <c r="D35" s="14"/>
      <c r="E35" s="14"/>
    </row>
    <row r="36" spans="2:23">
      <c r="B36" s="13"/>
      <c r="C36" s="14"/>
      <c r="D36" s="14"/>
      <c r="E36" s="14"/>
    </row>
    <row r="37" spans="2:23">
      <c r="B37" s="13"/>
      <c r="C37" s="14"/>
      <c r="D37" s="14"/>
      <c r="E37" s="14"/>
      <c r="T37" s="9"/>
      <c r="U37" s="9"/>
      <c r="V37" s="9"/>
      <c r="W37" s="9"/>
    </row>
    <row r="38" spans="2:23">
      <c r="B38" s="13"/>
      <c r="C38" s="14"/>
      <c r="D38" s="14"/>
      <c r="E38" s="14"/>
      <c r="T38" s="10"/>
      <c r="U38" s="20"/>
      <c r="V38" s="10"/>
      <c r="W38" s="10"/>
    </row>
    <row r="39" spans="2:23">
      <c r="B39" s="13"/>
      <c r="C39" s="14"/>
      <c r="D39" s="14"/>
      <c r="E39" s="14"/>
      <c r="T39" s="10"/>
      <c r="U39" s="20"/>
      <c r="V39" s="10"/>
      <c r="W39" s="10"/>
    </row>
    <row r="40" spans="2:23">
      <c r="B40" s="13"/>
      <c r="C40" s="14"/>
      <c r="D40" s="14"/>
      <c r="E40" s="14"/>
      <c r="T40" s="10"/>
      <c r="U40" s="20"/>
      <c r="V40" s="10"/>
      <c r="W40" s="10"/>
    </row>
    <row r="41" spans="2:23">
      <c r="B41" s="13"/>
      <c r="C41" s="14"/>
      <c r="D41" s="14"/>
      <c r="E41" s="14"/>
      <c r="T41" s="10"/>
      <c r="U41" s="20"/>
      <c r="V41" s="10"/>
      <c r="W41" s="10"/>
    </row>
    <row r="42" spans="2:23">
      <c r="B42" s="13"/>
      <c r="C42" s="14"/>
      <c r="D42" s="14"/>
      <c r="E42" s="14"/>
      <c r="T42" s="10"/>
      <c r="U42" s="20"/>
      <c r="V42" s="10"/>
      <c r="W42" s="10"/>
    </row>
    <row r="43" spans="2:23">
      <c r="B43" s="13"/>
      <c r="C43" s="14"/>
      <c r="D43" s="14"/>
      <c r="E43" s="14"/>
      <c r="T43" s="10"/>
      <c r="U43" s="20"/>
      <c r="V43" s="10"/>
      <c r="W43" s="10"/>
    </row>
    <row r="44" spans="2:23">
      <c r="B44" s="13"/>
      <c r="C44" s="14"/>
      <c r="D44" s="14"/>
      <c r="E44" s="14"/>
      <c r="T44" s="10"/>
      <c r="U44" s="20"/>
      <c r="V44" s="10"/>
      <c r="W44" s="10"/>
    </row>
    <row r="45" spans="2:23">
      <c r="B45" s="13"/>
      <c r="C45" s="14"/>
      <c r="D45" s="14"/>
      <c r="E45" s="14"/>
      <c r="T45" s="10"/>
      <c r="U45" s="20"/>
      <c r="V45" s="10"/>
      <c r="W45" s="10"/>
    </row>
    <row r="46" spans="2:23">
      <c r="B46" s="13"/>
      <c r="C46" s="14"/>
      <c r="D46" s="14"/>
      <c r="E46" s="14"/>
      <c r="T46" s="10"/>
      <c r="U46" s="20"/>
      <c r="V46" s="10"/>
      <c r="W46" s="10"/>
    </row>
    <row r="47" spans="2:23">
      <c r="B47" s="13"/>
      <c r="C47" s="14"/>
      <c r="D47" s="14"/>
      <c r="E47" s="14"/>
      <c r="T47" s="10"/>
      <c r="U47" s="20"/>
      <c r="V47" s="10"/>
      <c r="W47" s="10"/>
    </row>
    <row r="48" spans="2:23">
      <c r="B48" s="13"/>
      <c r="C48" s="14"/>
      <c r="D48" s="14"/>
      <c r="E48" s="14"/>
      <c r="T48" s="10"/>
      <c r="U48" s="20"/>
      <c r="V48" s="10"/>
      <c r="W48" s="10"/>
    </row>
    <row r="49" spans="1:23">
      <c r="B49" s="13"/>
      <c r="C49" s="15"/>
      <c r="D49" s="14"/>
      <c r="E49" s="14"/>
      <c r="T49" s="10"/>
      <c r="U49" s="20"/>
      <c r="V49" s="10"/>
      <c r="W49" s="10"/>
    </row>
    <row r="50" spans="1:23">
      <c r="B50" s="13"/>
      <c r="C50" s="14"/>
      <c r="D50" s="14"/>
      <c r="E50" s="14"/>
      <c r="T50" s="10"/>
      <c r="U50" s="20"/>
      <c r="V50" s="10"/>
      <c r="W50" s="10"/>
    </row>
    <row r="51" spans="1:23">
      <c r="B51" s="13"/>
      <c r="C51" s="14"/>
      <c r="D51" s="14"/>
      <c r="E51" s="14"/>
      <c r="G51" s="12"/>
      <c r="H51" s="12"/>
      <c r="I51" s="12"/>
      <c r="J51" s="12"/>
      <c r="L51" s="12"/>
      <c r="M51" s="12"/>
      <c r="N51" s="12"/>
      <c r="O51" s="12"/>
      <c r="P51" s="12"/>
      <c r="Q51" s="12"/>
      <c r="R51" s="12"/>
      <c r="S51" s="12"/>
      <c r="T51" s="10"/>
      <c r="U51" s="20"/>
      <c r="V51" s="10"/>
      <c r="W51" s="10"/>
    </row>
    <row r="52" spans="1:23">
      <c r="A52" s="9"/>
      <c r="B52" s="9"/>
      <c r="C52" s="9"/>
      <c r="D52" s="9"/>
      <c r="E52" s="14"/>
      <c r="G52" s="13"/>
      <c r="H52" s="14"/>
      <c r="I52" s="14"/>
      <c r="J52" s="14"/>
      <c r="L52" s="13"/>
      <c r="M52" s="14"/>
      <c r="N52" s="14"/>
      <c r="O52" s="14"/>
      <c r="P52" s="13"/>
      <c r="Q52" s="14"/>
      <c r="R52" s="14"/>
      <c r="S52" s="14"/>
      <c r="T52" s="10"/>
      <c r="U52" s="20"/>
      <c r="V52" s="10"/>
      <c r="W52" s="10"/>
    </row>
    <row r="53" spans="1:23">
      <c r="A53" s="10"/>
      <c r="B53" s="10"/>
      <c r="C53" s="10"/>
      <c r="D53" s="10"/>
      <c r="E53" s="14"/>
      <c r="G53" s="13"/>
      <c r="H53" s="14"/>
      <c r="I53" s="14"/>
      <c r="J53" s="14"/>
      <c r="L53" s="13"/>
      <c r="M53" s="14"/>
      <c r="N53" s="14"/>
      <c r="O53" s="14"/>
      <c r="P53" s="13"/>
      <c r="Q53" s="14"/>
      <c r="R53" s="14"/>
      <c r="S53" s="14"/>
      <c r="T53" s="10"/>
      <c r="U53" s="20"/>
      <c r="V53" s="10"/>
      <c r="W53" s="10"/>
    </row>
    <row r="54" spans="1:23">
      <c r="A54" s="10"/>
      <c r="B54" s="10"/>
      <c r="C54" s="10"/>
      <c r="D54" s="10"/>
      <c r="E54" s="14"/>
      <c r="G54" s="13"/>
      <c r="H54" s="14"/>
      <c r="I54" s="14"/>
      <c r="J54" s="14"/>
      <c r="L54" s="13"/>
      <c r="M54" s="14"/>
      <c r="N54" s="14"/>
      <c r="O54" s="14"/>
      <c r="P54" s="13"/>
      <c r="Q54" s="14"/>
      <c r="R54" s="14"/>
      <c r="S54" s="14"/>
      <c r="T54" s="10"/>
      <c r="U54" s="20"/>
      <c r="V54" s="10"/>
      <c r="W54" s="10"/>
    </row>
    <row r="55" spans="1:23">
      <c r="A55" s="10"/>
      <c r="B55" s="10"/>
      <c r="C55" s="10"/>
      <c r="D55" s="10"/>
      <c r="E55" s="14"/>
      <c r="G55" s="13"/>
      <c r="H55" s="14"/>
      <c r="I55" s="14"/>
      <c r="J55" s="14"/>
      <c r="L55" s="13"/>
      <c r="M55" s="14"/>
      <c r="N55" s="14"/>
      <c r="O55" s="14"/>
      <c r="P55" s="13"/>
      <c r="Q55" s="14"/>
      <c r="R55" s="14"/>
      <c r="S55" s="14"/>
      <c r="T55" s="10"/>
      <c r="U55" s="20"/>
      <c r="V55" s="10"/>
      <c r="W55" s="10"/>
    </row>
    <row r="56" spans="1:23">
      <c r="A56" s="10"/>
      <c r="B56" s="10"/>
      <c r="C56" s="10"/>
      <c r="D56" s="10"/>
      <c r="E56" s="14"/>
      <c r="G56" s="13"/>
      <c r="H56" s="14"/>
      <c r="I56" s="14"/>
      <c r="J56" s="14"/>
      <c r="L56" s="13"/>
      <c r="M56" s="14"/>
      <c r="N56" s="14"/>
      <c r="O56" s="14"/>
      <c r="P56" s="13"/>
      <c r="Q56" s="14"/>
      <c r="R56" s="14"/>
      <c r="S56" s="14"/>
      <c r="T56" s="10"/>
      <c r="U56" s="20"/>
      <c r="V56" s="10"/>
      <c r="W56" s="10"/>
    </row>
    <row r="57" spans="1:23">
      <c r="A57" s="10"/>
      <c r="B57" s="10"/>
      <c r="C57" s="10"/>
      <c r="D57" s="10"/>
      <c r="E57" s="14"/>
      <c r="G57" s="13"/>
      <c r="H57" s="14"/>
      <c r="I57" s="14"/>
      <c r="J57" s="14"/>
      <c r="L57" s="13"/>
      <c r="M57" s="14"/>
      <c r="N57" s="14"/>
      <c r="O57" s="14"/>
      <c r="P57" s="13"/>
      <c r="Q57" s="14"/>
      <c r="R57" s="14"/>
      <c r="S57" s="14"/>
      <c r="T57" s="10"/>
      <c r="U57" s="20"/>
      <c r="V57" s="10"/>
      <c r="W57" s="10"/>
    </row>
    <row r="58" spans="1:23">
      <c r="A58" s="10"/>
      <c r="B58" s="10"/>
      <c r="C58" s="10"/>
      <c r="D58" s="10"/>
      <c r="E58" s="14"/>
      <c r="G58" s="13"/>
      <c r="H58" s="14"/>
      <c r="I58" s="14"/>
      <c r="J58" s="14"/>
      <c r="L58" s="13"/>
      <c r="M58" s="14"/>
      <c r="N58" s="14"/>
      <c r="O58" s="14"/>
      <c r="P58" s="13"/>
      <c r="Q58" s="14"/>
      <c r="R58" s="14"/>
      <c r="S58" s="14"/>
      <c r="T58" s="10"/>
      <c r="U58" s="20"/>
      <c r="V58" s="10"/>
      <c r="W58" s="10"/>
    </row>
    <row r="59" spans="1:23">
      <c r="A59" s="10"/>
      <c r="B59" s="10"/>
      <c r="C59" s="10"/>
      <c r="D59" s="10"/>
      <c r="E59" s="14"/>
      <c r="G59" s="13"/>
      <c r="H59" s="14"/>
      <c r="I59" s="14"/>
      <c r="J59" s="14"/>
      <c r="L59" s="13"/>
      <c r="M59" s="14"/>
      <c r="N59" s="14"/>
      <c r="O59" s="14"/>
      <c r="P59" s="13"/>
      <c r="Q59" s="14"/>
      <c r="R59" s="14"/>
      <c r="S59" s="14"/>
      <c r="T59" s="10"/>
      <c r="U59" s="20"/>
      <c r="V59" s="10"/>
      <c r="W59" s="10"/>
    </row>
    <row r="60" spans="1:23">
      <c r="A60" s="10"/>
      <c r="B60" s="10"/>
      <c r="C60" s="10"/>
      <c r="D60" s="10"/>
      <c r="E60" s="13"/>
      <c r="G60" s="13"/>
      <c r="H60" s="14"/>
      <c r="I60" s="14"/>
      <c r="J60" s="14"/>
      <c r="L60" s="13"/>
      <c r="M60" s="14"/>
      <c r="N60" s="14"/>
      <c r="O60" s="14"/>
      <c r="P60" s="13"/>
      <c r="Q60" s="14"/>
      <c r="R60" s="14"/>
      <c r="S60" s="14"/>
      <c r="T60" s="10"/>
      <c r="U60" s="20"/>
      <c r="V60" s="10"/>
      <c r="W60" s="10"/>
    </row>
    <row r="61" spans="1:23">
      <c r="A61" s="10"/>
      <c r="B61" s="10"/>
      <c r="C61" s="10"/>
      <c r="D61" s="10"/>
      <c r="G61" s="13"/>
      <c r="H61" s="14"/>
      <c r="I61" s="14"/>
      <c r="J61" s="14"/>
      <c r="L61" s="13"/>
      <c r="M61" s="14"/>
      <c r="N61" s="14"/>
      <c r="O61" s="14"/>
      <c r="P61" s="13"/>
      <c r="Q61" s="14"/>
      <c r="R61" s="14"/>
      <c r="S61" s="14"/>
      <c r="T61" s="10"/>
      <c r="U61" s="20"/>
      <c r="V61" s="10"/>
      <c r="W61" s="10"/>
    </row>
    <row r="62" spans="1:23">
      <c r="A62" s="10"/>
      <c r="B62" s="10"/>
      <c r="C62" s="10"/>
      <c r="D62" s="10"/>
      <c r="G62" s="13"/>
      <c r="H62" s="14"/>
      <c r="I62" s="14"/>
      <c r="J62" s="14"/>
      <c r="L62" s="13"/>
      <c r="M62" s="14"/>
      <c r="N62" s="14"/>
      <c r="O62" s="14"/>
      <c r="P62" s="13"/>
      <c r="Q62" s="14"/>
      <c r="R62" s="14"/>
      <c r="S62" s="14"/>
      <c r="T62" s="10"/>
      <c r="U62" s="20"/>
      <c r="V62" s="10"/>
      <c r="W62" s="10"/>
    </row>
    <row r="63" spans="1:23">
      <c r="A63" s="10"/>
      <c r="B63" s="10"/>
      <c r="C63" s="10"/>
      <c r="D63" s="10"/>
      <c r="G63" s="13"/>
      <c r="H63" s="14"/>
      <c r="I63" s="14"/>
      <c r="J63" s="14"/>
      <c r="L63" s="13"/>
      <c r="M63" s="14"/>
      <c r="N63" s="14"/>
      <c r="O63" s="14"/>
      <c r="P63" s="13"/>
      <c r="Q63" s="14"/>
      <c r="R63" s="14"/>
      <c r="S63" s="14"/>
    </row>
    <row r="64" spans="1:23">
      <c r="A64" s="10"/>
      <c r="B64" s="10"/>
      <c r="C64" s="10"/>
      <c r="D64" s="10"/>
      <c r="G64" s="13"/>
      <c r="H64" s="14"/>
      <c r="I64" s="14"/>
      <c r="J64" s="14"/>
      <c r="L64" s="13"/>
      <c r="M64" s="14"/>
      <c r="N64" s="14"/>
      <c r="O64" s="14"/>
      <c r="P64" s="13"/>
      <c r="Q64" s="14"/>
      <c r="R64" s="14"/>
      <c r="S64" s="14"/>
    </row>
    <row r="65" spans="1:21">
      <c r="A65" s="10"/>
      <c r="B65" s="10"/>
      <c r="C65" s="10"/>
      <c r="D65" s="10"/>
      <c r="G65" s="13"/>
      <c r="H65" s="14"/>
      <c r="I65" s="14"/>
      <c r="J65" s="14"/>
      <c r="L65" s="13"/>
      <c r="M65" s="14"/>
      <c r="N65" s="14"/>
      <c r="O65" s="14"/>
      <c r="P65" s="13"/>
      <c r="Q65" s="14"/>
      <c r="R65" s="14"/>
      <c r="S65" s="14"/>
    </row>
    <row r="66" spans="1:21">
      <c r="A66" s="10"/>
      <c r="B66" s="10"/>
      <c r="C66" s="10"/>
      <c r="D66" s="10"/>
      <c r="G66" s="13"/>
      <c r="H66" s="14"/>
      <c r="I66" s="14"/>
      <c r="J66" s="14"/>
      <c r="L66" s="13"/>
      <c r="M66" s="14"/>
      <c r="N66" s="14"/>
      <c r="O66" s="14"/>
      <c r="P66" s="13"/>
      <c r="Q66" s="14"/>
      <c r="R66" s="14"/>
      <c r="S66" s="14"/>
    </row>
    <row r="67" spans="1:21">
      <c r="A67" s="10"/>
      <c r="B67" s="10"/>
      <c r="C67" s="10"/>
      <c r="D67" s="10"/>
      <c r="G67" s="13"/>
      <c r="H67" s="14"/>
      <c r="I67" s="14"/>
      <c r="J67" s="14"/>
      <c r="L67" s="13"/>
      <c r="M67" s="14"/>
      <c r="N67" s="14"/>
      <c r="O67" s="14"/>
      <c r="P67" s="13"/>
      <c r="Q67" s="14"/>
      <c r="R67" s="14"/>
      <c r="S67" s="14"/>
    </row>
    <row r="68" spans="1:21">
      <c r="A68" s="10"/>
      <c r="B68" s="10"/>
      <c r="C68" s="10"/>
      <c r="D68" s="10"/>
      <c r="G68" s="13"/>
      <c r="H68" s="14"/>
      <c r="I68" s="14"/>
      <c r="J68" s="14"/>
      <c r="L68" s="13"/>
      <c r="M68" s="14"/>
      <c r="N68" s="14"/>
      <c r="O68" s="14"/>
      <c r="P68" s="13"/>
      <c r="Q68" s="14"/>
      <c r="R68" s="14"/>
      <c r="S68" s="14"/>
    </row>
    <row r="69" spans="1:21">
      <c r="A69" s="10"/>
      <c r="B69" s="10"/>
      <c r="C69" s="10"/>
      <c r="D69" s="10"/>
      <c r="G69" s="13"/>
      <c r="H69" s="14"/>
      <c r="I69" s="14"/>
      <c r="J69" s="14"/>
      <c r="L69" s="13"/>
      <c r="M69" s="14"/>
      <c r="N69" s="14"/>
      <c r="O69" s="14"/>
      <c r="P69" s="13"/>
      <c r="Q69" s="14"/>
      <c r="R69" s="14"/>
      <c r="S69" s="14"/>
    </row>
    <row r="70" spans="1:21">
      <c r="A70" s="10"/>
      <c r="B70" s="10"/>
      <c r="C70" s="10"/>
      <c r="D70" s="10"/>
      <c r="G70" s="13"/>
      <c r="H70" s="14"/>
      <c r="I70" s="14"/>
      <c r="J70" s="14"/>
      <c r="L70" s="13"/>
      <c r="M70" s="14"/>
      <c r="N70" s="14"/>
      <c r="O70" s="14"/>
      <c r="P70" s="13"/>
      <c r="Q70" s="14"/>
      <c r="R70" s="14"/>
      <c r="S70" s="14"/>
    </row>
    <row r="71" spans="1:21">
      <c r="A71" s="10"/>
      <c r="B71" s="10"/>
      <c r="C71" s="10"/>
      <c r="D71" s="10"/>
      <c r="G71" s="13"/>
      <c r="H71" s="14"/>
      <c r="I71" s="14"/>
      <c r="J71" s="14"/>
      <c r="L71" s="13"/>
      <c r="M71" s="14"/>
      <c r="N71" s="14"/>
      <c r="O71" s="14"/>
      <c r="P71" s="13"/>
      <c r="Q71" s="14"/>
      <c r="R71" s="14"/>
      <c r="S71" s="14"/>
    </row>
    <row r="72" spans="1:21">
      <c r="A72" s="10"/>
      <c r="B72" s="10"/>
      <c r="C72" s="10"/>
      <c r="D72" s="10"/>
      <c r="G72" s="13"/>
      <c r="H72" s="14"/>
      <c r="I72" s="14"/>
      <c r="J72" s="14"/>
      <c r="L72" s="13"/>
      <c r="M72" s="14"/>
      <c r="N72" s="14"/>
      <c r="O72" s="14"/>
      <c r="P72" s="13"/>
      <c r="Q72" s="14"/>
      <c r="R72" s="14"/>
      <c r="S72" s="14"/>
    </row>
    <row r="73" spans="1:21">
      <c r="A73" s="10"/>
      <c r="B73" s="10"/>
      <c r="C73" s="10"/>
      <c r="D73" s="10"/>
      <c r="G73" s="13"/>
      <c r="H73" s="14"/>
      <c r="I73" s="14"/>
      <c r="J73" s="14"/>
      <c r="L73" s="13"/>
      <c r="M73" s="14"/>
      <c r="N73" s="14"/>
      <c r="O73" s="14"/>
      <c r="P73" s="13"/>
      <c r="Q73" s="14"/>
      <c r="R73" s="14"/>
      <c r="S73" s="14"/>
    </row>
    <row r="74" spans="1:21">
      <c r="A74" s="10"/>
      <c r="B74" s="10"/>
      <c r="C74" s="10"/>
      <c r="D74" s="10"/>
      <c r="G74" s="13"/>
      <c r="H74" s="14"/>
      <c r="I74" s="14"/>
      <c r="J74" s="14"/>
      <c r="L74" s="13"/>
      <c r="M74" s="14"/>
      <c r="N74" s="14"/>
      <c r="O74" s="14"/>
      <c r="P74" s="13"/>
      <c r="Q74" s="14"/>
      <c r="R74" s="14"/>
      <c r="S74" s="14"/>
    </row>
    <row r="75" spans="1:21">
      <c r="A75" s="10"/>
      <c r="B75" s="10"/>
      <c r="C75" s="10"/>
      <c r="D75" s="10"/>
      <c r="G75" s="13"/>
      <c r="H75" s="14"/>
      <c r="I75" s="14"/>
      <c r="J75" s="14"/>
      <c r="L75" s="13"/>
      <c r="M75" s="14"/>
      <c r="N75" s="14"/>
      <c r="O75" s="14"/>
      <c r="P75" s="13"/>
      <c r="Q75" s="14"/>
      <c r="R75" s="14"/>
      <c r="S75" s="14"/>
    </row>
    <row r="76" spans="1:21">
      <c r="A76" s="10"/>
      <c r="B76" s="10"/>
      <c r="C76" s="10"/>
      <c r="D76" s="10"/>
      <c r="G76" s="13"/>
      <c r="H76" s="14"/>
      <c r="I76" s="14"/>
      <c r="J76" s="14"/>
      <c r="L76" s="13"/>
      <c r="M76" s="14"/>
      <c r="N76" s="14"/>
      <c r="O76" s="14"/>
      <c r="P76" s="13"/>
      <c r="Q76" s="14"/>
      <c r="R76" s="14"/>
      <c r="S76" s="14"/>
    </row>
    <row r="77" spans="1:21">
      <c r="A77" s="10"/>
      <c r="B77" s="10"/>
      <c r="C77" s="10"/>
      <c r="D77" s="10"/>
      <c r="G77" s="13"/>
      <c r="H77" s="13"/>
      <c r="I77" s="13"/>
      <c r="J77" s="13"/>
      <c r="L77" s="13"/>
      <c r="M77" s="13"/>
      <c r="N77" s="13"/>
      <c r="O77" s="13"/>
      <c r="P77" s="13"/>
      <c r="Q77" s="13"/>
      <c r="R77" s="13"/>
      <c r="S77" s="13"/>
    </row>
    <row r="78" spans="1:21"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12"/>
      <c r="R78" s="12"/>
      <c r="S78" s="12"/>
      <c r="T78" s="12"/>
      <c r="U78" s="12"/>
    </row>
    <row r="79" spans="1:21"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3"/>
      <c r="R79" s="14"/>
      <c r="S79" s="14"/>
      <c r="T79" s="14"/>
      <c r="U79" s="14"/>
    </row>
    <row r="80" spans="1:21"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3"/>
      <c r="R80" s="14"/>
      <c r="S80" s="14"/>
      <c r="T80" s="14"/>
      <c r="U80" s="14"/>
    </row>
    <row r="81" spans="5:21"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3"/>
      <c r="R81" s="14"/>
      <c r="S81" s="14"/>
      <c r="T81" s="14"/>
      <c r="U81" s="14"/>
    </row>
    <row r="82" spans="5:21"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3"/>
      <c r="R82" s="14"/>
      <c r="S82" s="14"/>
      <c r="T82" s="14"/>
      <c r="U82" s="14"/>
    </row>
    <row r="83" spans="5:21"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3"/>
      <c r="R83" s="14"/>
      <c r="S83" s="14"/>
      <c r="T83" s="14"/>
      <c r="U83" s="14"/>
    </row>
    <row r="84" spans="5:21"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3"/>
      <c r="R84" s="14"/>
      <c r="S84" s="14"/>
      <c r="T84" s="14"/>
      <c r="U84" s="14"/>
    </row>
    <row r="85" spans="5:21"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3"/>
      <c r="R85" s="14"/>
      <c r="S85" s="14"/>
      <c r="T85" s="14"/>
      <c r="U85" s="14"/>
    </row>
    <row r="86" spans="5:21"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3"/>
      <c r="R86" s="14"/>
      <c r="S86" s="14"/>
      <c r="T86" s="14"/>
      <c r="U86" s="14"/>
    </row>
    <row r="87" spans="5:21"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3"/>
      <c r="R87" s="14"/>
      <c r="S87" s="14"/>
      <c r="T87" s="14"/>
      <c r="U87" s="14"/>
    </row>
    <row r="88" spans="5:21"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3"/>
      <c r="R88" s="14"/>
      <c r="S88" s="14"/>
      <c r="T88" s="14"/>
      <c r="U88" s="14"/>
    </row>
    <row r="89" spans="5:21"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3"/>
      <c r="R89" s="14"/>
      <c r="S89" s="14"/>
      <c r="T89" s="14"/>
      <c r="U89" s="14"/>
    </row>
    <row r="90" spans="5:21"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3"/>
      <c r="R90" s="14"/>
      <c r="S90" s="14"/>
      <c r="T90" s="14"/>
      <c r="U90" s="14"/>
    </row>
    <row r="91" spans="5:21"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3"/>
      <c r="R91" s="14"/>
      <c r="S91" s="14"/>
      <c r="T91" s="14"/>
      <c r="U91" s="14"/>
    </row>
    <row r="92" spans="5:21"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3"/>
      <c r="R92" s="14"/>
      <c r="S92" s="14"/>
      <c r="T92" s="14"/>
      <c r="U92" s="14"/>
    </row>
    <row r="93" spans="5:21"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3"/>
      <c r="R93" s="14"/>
      <c r="S93" s="14"/>
      <c r="T93" s="14"/>
      <c r="U93" s="14"/>
    </row>
    <row r="94" spans="5:21"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3"/>
      <c r="R94" s="14"/>
      <c r="S94" s="14"/>
      <c r="T94" s="14"/>
      <c r="U94" s="14"/>
    </row>
    <row r="95" spans="5:21"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3"/>
      <c r="R95" s="14"/>
      <c r="S95" s="14"/>
      <c r="T95" s="14"/>
      <c r="U95" s="14"/>
    </row>
    <row r="96" spans="5:21"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3"/>
      <c r="R96" s="14"/>
      <c r="S96" s="14"/>
      <c r="T96" s="14"/>
      <c r="U96" s="14"/>
    </row>
    <row r="97" spans="5:21"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3"/>
      <c r="R97" s="14"/>
      <c r="S97" s="14"/>
      <c r="T97" s="14"/>
      <c r="U97" s="14"/>
    </row>
    <row r="98" spans="5:21"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3"/>
      <c r="R98" s="14"/>
      <c r="S98" s="14"/>
      <c r="T98" s="14"/>
      <c r="U98" s="14"/>
    </row>
    <row r="99" spans="5:21"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3"/>
      <c r="R99" s="14"/>
      <c r="S99" s="14"/>
      <c r="T99" s="14"/>
      <c r="U99" s="14"/>
    </row>
    <row r="100" spans="5:21"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3"/>
      <c r="R100" s="14"/>
      <c r="S100" s="14"/>
      <c r="T100" s="14"/>
      <c r="U100" s="14"/>
    </row>
    <row r="101" spans="5:21"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3"/>
      <c r="R101" s="14"/>
      <c r="S101" s="14"/>
      <c r="T101" s="14"/>
      <c r="U101" s="14"/>
    </row>
    <row r="102" spans="5:21"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3"/>
      <c r="R102" s="14"/>
      <c r="S102" s="14"/>
      <c r="T102" s="14"/>
      <c r="U102" s="14"/>
    </row>
    <row r="103" spans="5:21"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3"/>
      <c r="R103" s="14"/>
      <c r="S103" s="14"/>
      <c r="T103" s="14"/>
      <c r="U103" s="14"/>
    </row>
    <row r="104" spans="5:21">
      <c r="Q104" s="13"/>
      <c r="R104" s="13"/>
      <c r="S104" s="13"/>
      <c r="T104" s="13"/>
      <c r="U10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producation</vt:lpstr>
      <vt:lpstr>pareto</vt:lpstr>
      <vt:lpstr>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 Kshirsagar</dc:creator>
  <cp:lastModifiedBy>VINAY</cp:lastModifiedBy>
  <dcterms:created xsi:type="dcterms:W3CDTF">2026-03-04T10:28:34Z</dcterms:created>
  <dcterms:modified xsi:type="dcterms:W3CDTF">2026-05-03T07:49:02Z</dcterms:modified>
</cp:coreProperties>
</file>