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\Sem-IV\Datasets\"/>
    </mc:Choice>
  </mc:AlternateContent>
  <xr:revisionPtr revIDLastSave="0" documentId="13_ncr:1_{75DC43D5-4596-4531-B9AF-33DCB5A4267E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Area" sheetId="4" r:id="rId1"/>
    <sheet name="producation" sheetId="1" r:id="rId2"/>
    <sheet name="Productivity" sheetId="7" r:id="rId3"/>
    <sheet name="pareto" sheetId="3" r:id="rId4"/>
    <sheet name="Decade" sheetId="6" r:id="rId5"/>
    <sheet name="5_Years_data" sheetId="8" r:id="rId6"/>
    <sheet name="Sheet2" sheetId="9" r:id="rId7"/>
    <sheet name="Sheet3" sheetId="10" r:id="rId8"/>
    <sheet name="Sheet1" sheetId="5" state="hidden" r:id="rId9"/>
  </sheets>
  <definedNames>
    <definedName name="_xlnm._FilterDatabase" localSheetId="5" hidden="1">'5_Years_data'!$A$1:$P$27</definedName>
    <definedName name="_xlnm._FilterDatabase" localSheetId="0" hidden="1">Area!$A$1:$U$27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0" l="1"/>
  <c r="G37" i="10"/>
  <c r="G36" i="10"/>
  <c r="G35" i="10"/>
  <c r="G34" i="10"/>
  <c r="G33" i="10"/>
  <c r="G32" i="10"/>
  <c r="G23" i="10"/>
  <c r="G24" i="10"/>
  <c r="G25" i="10"/>
  <c r="G26" i="10"/>
  <c r="G27" i="10"/>
  <c r="G28" i="10"/>
  <c r="G22" i="10"/>
  <c r="G13" i="10"/>
  <c r="G14" i="10"/>
  <c r="G15" i="10"/>
  <c r="G16" i="10"/>
  <c r="G17" i="10"/>
  <c r="G18" i="10"/>
  <c r="G12" i="10"/>
  <c r="C38" i="10"/>
  <c r="D38" i="10"/>
  <c r="E38" i="10"/>
  <c r="F38" i="10"/>
  <c r="B38" i="10"/>
  <c r="C28" i="10"/>
  <c r="D28" i="10"/>
  <c r="E28" i="10"/>
  <c r="F28" i="10"/>
  <c r="B28" i="10"/>
  <c r="B33" i="10"/>
  <c r="C33" i="10"/>
  <c r="D33" i="10"/>
  <c r="E33" i="10"/>
  <c r="F33" i="10"/>
  <c r="B34" i="10"/>
  <c r="D34" i="10"/>
  <c r="E34" i="10"/>
  <c r="F34" i="10"/>
  <c r="B35" i="10"/>
  <c r="C35" i="10"/>
  <c r="D35" i="10"/>
  <c r="E35" i="10"/>
  <c r="F35" i="10"/>
  <c r="B36" i="10"/>
  <c r="C36" i="10"/>
  <c r="D36" i="10"/>
  <c r="E36" i="10"/>
  <c r="F36" i="10"/>
  <c r="B37" i="10"/>
  <c r="C37" i="10"/>
  <c r="D37" i="10"/>
  <c r="E37" i="10"/>
  <c r="F37" i="10"/>
  <c r="C32" i="10"/>
  <c r="D32" i="10"/>
  <c r="E32" i="10"/>
  <c r="F32" i="10"/>
  <c r="B32" i="10"/>
  <c r="C18" i="10"/>
  <c r="D18" i="10"/>
  <c r="E18" i="10"/>
  <c r="F18" i="10"/>
  <c r="B18" i="10"/>
  <c r="C24" i="10"/>
  <c r="C34" i="10" s="1"/>
  <c r="F5" i="10"/>
  <c r="F17" i="8"/>
  <c r="F21" i="8"/>
  <c r="F5" i="8"/>
  <c r="F25" i="8"/>
  <c r="F26" i="8"/>
  <c r="F23" i="8"/>
  <c r="F19" i="8"/>
  <c r="F16" i="8"/>
  <c r="F18" i="8"/>
  <c r="F20" i="8"/>
  <c r="F15" i="8"/>
  <c r="C27" i="4"/>
  <c r="D27" i="4"/>
  <c r="E27" i="4"/>
  <c r="F27" i="4"/>
  <c r="G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B27" i="4"/>
  <c r="U27" i="1"/>
  <c r="T27" i="1" l="1"/>
  <c r="C27" i="1"/>
  <c r="D27" i="1"/>
  <c r="H27" i="1"/>
  <c r="I27" i="1"/>
  <c r="J27" i="1"/>
  <c r="L27" i="1"/>
  <c r="M27" i="1"/>
  <c r="N27" i="1"/>
  <c r="O27" i="1"/>
  <c r="P27" i="1"/>
  <c r="Q27" i="1"/>
  <c r="R27" i="1"/>
  <c r="S27" i="1"/>
  <c r="B27" i="1"/>
  <c r="H23" i="4" l="1"/>
  <c r="H27" i="4" s="1"/>
  <c r="K22" i="1" l="1"/>
  <c r="K27" i="1" s="1"/>
  <c r="E22" i="1"/>
  <c r="E27" i="1" s="1"/>
  <c r="F13" i="1"/>
  <c r="F27" i="1" s="1"/>
  <c r="G24" i="1" l="1"/>
  <c r="G23" i="1"/>
  <c r="G21" i="1"/>
  <c r="G20" i="1"/>
  <c r="G19" i="1"/>
  <c r="G17" i="1"/>
  <c r="G16" i="1"/>
  <c r="G15" i="1"/>
  <c r="G14" i="1"/>
  <c r="G11" i="1"/>
  <c r="G22" i="1"/>
  <c r="G27" i="1" l="1"/>
</calcChain>
</file>

<file path=xl/sharedStrings.xml><?xml version="1.0" encoding="utf-8"?>
<sst xmlns="http://schemas.openxmlformats.org/spreadsheetml/2006/main" count="265" uniqueCount="56">
  <si>
    <t>State</t>
  </si>
  <si>
    <t>Andhra Pradesh</t>
  </si>
  <si>
    <t>Arunachal Pradesh</t>
  </si>
  <si>
    <t>Assam</t>
  </si>
  <si>
    <t>Bihar</t>
  </si>
  <si>
    <t>Chhattisgarh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</si>
  <si>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</si>
  <si>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</si>
  <si>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</si>
  <si>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</si>
  <si>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</si>
  <si>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</si>
  <si>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</si>
  <si>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</si>
  <si>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</si>
  <si>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</si>
  <si>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</si>
  <si>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</si>
  <si>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</si>
  <si>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</si>
  <si>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</si>
  <si>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</si>
  <si>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</si>
  <si>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</si>
  <si>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West Bengal</t>
  </si>
  <si>
    <t>Gujarat</t>
  </si>
  <si>
    <t>Top 5 State</t>
  </si>
  <si>
    <t>Total</t>
  </si>
  <si>
    <t>total</t>
  </si>
  <si>
    <t>Year</t>
  </si>
  <si>
    <t>2017-18</t>
  </si>
  <si>
    <t>2023-24</t>
  </si>
  <si>
    <t xml:space="preserve">States </t>
  </si>
  <si>
    <t xml:space="preserve">Area </t>
  </si>
  <si>
    <t xml:space="preserve">Production </t>
  </si>
  <si>
    <t xml:space="preserve">Productivity </t>
  </si>
  <si>
    <t xml:space="preserve">Andhra Pradesh </t>
  </si>
  <si>
    <t xml:space="preserve">Assam </t>
  </si>
  <si>
    <t xml:space="preserve">Bihar </t>
  </si>
  <si>
    <t xml:space="preserve">Chhattisgarh </t>
  </si>
  <si>
    <t xml:space="preserve">Gujrat </t>
  </si>
  <si>
    <t xml:space="preserve">Karnataka </t>
  </si>
  <si>
    <t xml:space="preserve">Kerala </t>
  </si>
  <si>
    <t xml:space="preserve">Madhya Pradesh </t>
  </si>
  <si>
    <t xml:space="preserve">Maharashtra </t>
  </si>
  <si>
    <t xml:space="preserve">Odisha </t>
  </si>
  <si>
    <t xml:space="preserve">Other States </t>
  </si>
  <si>
    <t xml:space="preserve">Total </t>
  </si>
  <si>
    <t>Area in ‘000 Ha, Production in 000 MT, Productivity in MT/Ha</t>
  </si>
  <si>
    <t>Area</t>
  </si>
  <si>
    <t>Production</t>
  </si>
  <si>
    <t>Productivity</t>
  </si>
  <si>
    <t>Area ('000)</t>
  </si>
  <si>
    <t>Production ('000)</t>
  </si>
  <si>
    <t>Productivity ('000)</t>
  </si>
  <si>
    <t>Growth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</si>
</sst>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03030"/>
      <name val="Google Sans Text"/>
    </font>
    <font>
      <b/>
      <sz val="8"/>
      <color rgb="FF303030"/>
      <name val="Google Sans Text"/>
    </font>
    <font>
      <sz val="11"/>
      <color rgb="FF303030"/>
      <name val="Calibri"/>
      <family val="2"/>
    </font>
    <font>
      <sz val="11"/>
      <color rgb="FF30303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mbria"/>
      <family val="1"/>
    </font>
    <font>
      <sz val="11"/>
      <color rgb="FF303030"/>
      <name val="Cambria"/>
      <family val="1"/>
    </font>
    <font>
      <b/>
      <sz val="12"/>
      <color theme="1"/>
      <name val="Cambria Math"/>
      <family val="1"/>
    </font>
    <font>
      <sz val="12"/>
      <color theme="1"/>
      <name val="Cambria Math"/>
      <family val="1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6" fillId="0" borderId="1" xfId="0" applyFont="1" applyBorder="1"/>
    <xf numFmtId="0" fontId="5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7" fillId="0" borderId="1" xfId="0" applyFont="1" applyBorder="1"/>
    <xf numFmtId="0" fontId="6" fillId="0" borderId="2" xfId="0" applyFont="1" applyBorder="1"/>
    <xf numFmtId="0" fontId="1" fillId="0" borderId="0" xfId="0" applyFont="1" applyAlignment="1">
      <alignment vertical="center" wrapText="1"/>
    </xf>
    <xf numFmtId="0" fontId="1" fillId="0" borderId="3" xfId="0" applyFont="1" applyBorder="1"/>
    <xf numFmtId="4" fontId="2" fillId="2" borderId="0" xfId="0" applyNumberFormat="1" applyFont="1" applyFill="1" applyAlignment="1">
      <alignment vertical="center" wrapText="1"/>
    </xf>
    <xf numFmtId="0" fontId="1" fillId="0" borderId="4" xfId="0" applyFont="1" applyBorder="1"/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1" xfId="0" applyNumberFormat="1" applyBorder="1" applyAlignment="1">
      <alignment horizontal="center"/>
    </xf>
    <xf numFmtId="0" fontId="6" fillId="0" borderId="0" xfId="0" applyFont="1"/>
    <xf numFmtId="2" fontId="7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1" fillId="0" borderId="14" xfId="0" applyFont="1" applyBorder="1"/>
    <xf numFmtId="2" fontId="0" fillId="0" borderId="1" xfId="0" applyNumberForma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1" fillId="0" borderId="8" xfId="0" applyFont="1" applyBorder="1" applyAlignment="1">
      <alignment vertical="center"/>
    </xf>
    <xf numFmtId="0" fontId="11" fillId="0" borderId="8" xfId="0" applyFont="1" applyBorder="1" applyAlignment="1">
      <alignment vertical="center" wrapText="1"/>
    </xf>
    <xf numFmtId="0" fontId="12" fillId="0" borderId="7" xfId="0" applyFont="1" applyBorder="1" applyAlignment="1">
      <alignment vertical="center"/>
    </xf>
    <xf numFmtId="0" fontId="8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2" fontId="14" fillId="0" borderId="8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2" fontId="15" fillId="0" borderId="8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/>
    <xf numFmtId="2" fontId="0" fillId="0" borderId="0" xfId="0" applyNumberFormat="1"/>
    <xf numFmtId="0" fontId="6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2" fontId="0" fillId="0" borderId="0" xfId="0" applyNumberFormat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11" fillId="0" borderId="1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vertical="center"/>
    </xf>
    <xf numFmtId="0" fontId="6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r>
              <a:rPr lang="en-IN" b="1"/>
              <a:t>Year wise Growth in</a:t>
            </a:r>
            <a:r>
              <a:rPr lang="en-IN" b="1" baseline="0"/>
              <a:t> Area under Cultivation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31904675563323"/>
          <c:y val="0.24542502318731557"/>
          <c:w val="0.88353280325017758"/>
          <c:h val="0.574548291489979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Sheet3!$A$12</c:f>
              <c:strCache>
                <c:ptCount val="1"/>
                <c:pt idx="0">
                  <c:v>Maharashtra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Sheet3!$B$11:$F$11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Sheet3!$B$12:$F$12</c:f>
              <c:numCache>
                <c:formatCode>0.00</c:formatCode>
                <c:ptCount val="5"/>
                <c:pt idx="0">
                  <c:v>67.400000000000006</c:v>
                </c:pt>
                <c:pt idx="1">
                  <c:v>80.5</c:v>
                </c:pt>
                <c:pt idx="2">
                  <c:v>69.55</c:v>
                </c:pt>
                <c:pt idx="3">
                  <c:v>84.26</c:v>
                </c:pt>
                <c:pt idx="4" formatCode="General">
                  <c:v>123.34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D-4D8C-A9CA-129AB792E855}"/>
            </c:ext>
          </c:extLst>
        </c:ser>
        <c:ser>
          <c:idx val="1"/>
          <c:order val="1"/>
          <c:tx>
            <c:strRef>
              <c:f>Sheet3!$A$13</c:f>
              <c:strCache>
                <c:ptCount val="1"/>
                <c:pt idx="0">
                  <c:v>Andhra Pradesh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Sheet3!$B$11:$F$11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Sheet3!$B$13:$F$13</c:f>
              <c:numCache>
                <c:formatCode>0.00</c:formatCode>
                <c:ptCount val="5"/>
                <c:pt idx="0">
                  <c:v>70.5</c:v>
                </c:pt>
                <c:pt idx="1">
                  <c:v>77.5</c:v>
                </c:pt>
                <c:pt idx="2">
                  <c:v>75.72</c:v>
                </c:pt>
                <c:pt idx="3">
                  <c:v>97.25</c:v>
                </c:pt>
                <c:pt idx="4" formatCode="General">
                  <c:v>110.82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AD-4D8C-A9CA-129AB792E855}"/>
            </c:ext>
          </c:extLst>
        </c:ser>
        <c:ser>
          <c:idx val="2"/>
          <c:order val="2"/>
          <c:tx>
            <c:strRef>
              <c:f>Sheet3!$A$14</c:f>
              <c:strCache>
                <c:ptCount val="1"/>
                <c:pt idx="0">
                  <c:v>Tamil Nadu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Sheet3!$B$11:$F$11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Sheet3!$B$14:$F$14</c:f>
              <c:numCache>
                <c:formatCode>0.00</c:formatCode>
                <c:ptCount val="5"/>
                <c:pt idx="0">
                  <c:v>96.3</c:v>
                </c:pt>
                <c:pt idx="1">
                  <c:v>123.8</c:v>
                </c:pt>
                <c:pt idx="2">
                  <c:v>94.61</c:v>
                </c:pt>
                <c:pt idx="3">
                  <c:v>97.64</c:v>
                </c:pt>
                <c:pt idx="4" formatCode="General">
                  <c:v>114.77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AD-4D8C-A9CA-129AB792E855}"/>
            </c:ext>
          </c:extLst>
        </c:ser>
        <c:ser>
          <c:idx val="3"/>
          <c:order val="3"/>
          <c:tx>
            <c:strRef>
              <c:f>Sheet3!$A$15</c:f>
              <c:strCache>
                <c:ptCount val="1"/>
                <c:pt idx="0">
                  <c:v>Uttar Pradesh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Sheet3!$B$11:$F$11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Sheet3!$B$15:$F$15</c:f>
              <c:numCache>
                <c:formatCode>0.00</c:formatCode>
                <c:ptCount val="5"/>
                <c:pt idx="0">
                  <c:v>24.9</c:v>
                </c:pt>
                <c:pt idx="1">
                  <c:v>31.2</c:v>
                </c:pt>
                <c:pt idx="2">
                  <c:v>67</c:v>
                </c:pt>
                <c:pt idx="3">
                  <c:v>73.78</c:v>
                </c:pt>
                <c:pt idx="4" formatCode="General">
                  <c:v>93.29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AD-4D8C-A9CA-129AB792E855}"/>
            </c:ext>
          </c:extLst>
        </c:ser>
        <c:ser>
          <c:idx val="4"/>
          <c:order val="4"/>
          <c:tx>
            <c:strRef>
              <c:f>Sheet3!$A$16</c:f>
              <c:strCache>
                <c:ptCount val="1"/>
                <c:pt idx="0">
                  <c:v>Gujarat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Sheet3!$B$11:$F$11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Sheet3!$B$16:$F$16</c:f>
              <c:numCache>
                <c:formatCode>0.00</c:formatCode>
                <c:ptCount val="5"/>
                <c:pt idx="0">
                  <c:v>47.9</c:v>
                </c:pt>
                <c:pt idx="1">
                  <c:v>63.5</c:v>
                </c:pt>
                <c:pt idx="2">
                  <c:v>64.69</c:v>
                </c:pt>
                <c:pt idx="3">
                  <c:v>59.26</c:v>
                </c:pt>
                <c:pt idx="4" formatCode="General">
                  <c:v>59.9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AD-4D8C-A9CA-129AB792E855}"/>
            </c:ext>
          </c:extLst>
        </c:ser>
        <c:ser>
          <c:idx val="5"/>
          <c:order val="5"/>
          <c:tx>
            <c:strRef>
              <c:f>Sheet3!$A$17</c:f>
              <c:strCache>
                <c:ptCount val="1"/>
                <c:pt idx="0">
                  <c:v>Madhya Pradesh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Sheet3!$B$11:$F$11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Sheet3!$B$17:$F$17</c:f>
              <c:numCache>
                <c:formatCode>0.00</c:formatCode>
                <c:ptCount val="5"/>
                <c:pt idx="0">
                  <c:v>12.6</c:v>
                </c:pt>
                <c:pt idx="1">
                  <c:v>36.9</c:v>
                </c:pt>
                <c:pt idx="2">
                  <c:v>28.35</c:v>
                </c:pt>
                <c:pt idx="3">
                  <c:v>29.48</c:v>
                </c:pt>
                <c:pt idx="4" formatCode="General">
                  <c:v>34.869999999999997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AD-4D8C-A9CA-129AB792E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9403711"/>
        <c:axId val="1689414271"/>
      </c:barChart>
      <c:catAx>
        <c:axId val="168940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r>
                  <a:rPr lang="en-IN" sz="1050" b="1"/>
                  <a:t>Year</a:t>
                </a:r>
              </a:p>
            </c:rich>
          </c:tx>
          <c:layout>
            <c:manualLayout>
              <c:xMode val="edge"/>
              <c:yMode val="edge"/>
              <c:x val="0.51453269924083356"/>
              <c:y val="0.910216386356424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endParaRPr lang="en-US"/>
          </a:p>
        </c:txPr>
        <c:crossAx val="1689414271"/>
        <c:crosses val="autoZero"/>
        <c:auto val="1"/>
        <c:lblAlgn val="ctr"/>
        <c:lblOffset val="100"/>
        <c:noMultiLvlLbl val="0"/>
      </c:catAx>
      <c:valAx>
        <c:axId val="168941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r>
                  <a:rPr lang="en-IN" b="1"/>
                  <a:t>Area ('000 Ha)</a:t>
                </a:r>
              </a:p>
            </c:rich>
          </c:tx>
          <c:layout>
            <c:manualLayout>
              <c:xMode val="edge"/>
              <c:yMode val="edge"/>
              <c:x val="1.1163285930047168E-2"/>
              <c:y val="0.388808704953202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endParaRPr lang="en-US"/>
          </a:p>
        </c:txPr>
        <c:crossAx val="1689403711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12149367894758956"/>
          <c:y val="0.13495967183669269"/>
          <c:w val="0.83988841689535376"/>
          <c:h val="6.8475787786747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Cambria Math" panose="02040503050406030204" pitchFamily="18" charset="0"/>
          <a:ea typeface="Cambria Math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r>
              <a:rPr lang="en-IN" b="1"/>
              <a:t>Year wise growth in Banana Production</a:t>
            </a:r>
          </a:p>
        </c:rich>
      </c:tx>
      <c:layout>
        <c:manualLayout>
          <c:xMode val="edge"/>
          <c:yMode val="edge"/>
          <c:x val="0.35732293345043542"/>
          <c:y val="1.36694266231636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48194739875049"/>
          <c:y val="0.22874469546995768"/>
          <c:w val="0.86751345286233483"/>
          <c:h val="0.628825053176926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Sheet3!$A$22</c:f>
              <c:strCache>
                <c:ptCount val="1"/>
                <c:pt idx="0">
                  <c:v>Maharashtra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Sheet3!$B$21:$F$21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Sheet3!$B$22:$F$22</c:f>
              <c:numCache>
                <c:formatCode>0.00</c:formatCode>
                <c:ptCount val="5"/>
                <c:pt idx="0">
                  <c:v>4535</c:v>
                </c:pt>
                <c:pt idx="1">
                  <c:v>4303</c:v>
                </c:pt>
                <c:pt idx="2">
                  <c:v>3025.15</c:v>
                </c:pt>
                <c:pt idx="3">
                  <c:v>4223.05</c:v>
                </c:pt>
                <c:pt idx="4" formatCode="General">
                  <c:v>7229.86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F-466F-B417-862B912DAF4B}"/>
            </c:ext>
          </c:extLst>
        </c:ser>
        <c:ser>
          <c:idx val="1"/>
          <c:order val="1"/>
          <c:tx>
            <c:strRef>
              <c:f>Sheet3!$A$23</c:f>
              <c:strCache>
                <c:ptCount val="1"/>
                <c:pt idx="0">
                  <c:v>Andhra Pradesh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Sheet3!$B$21:$F$21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Sheet3!$B$23:$F$23</c:f>
              <c:numCache>
                <c:formatCode>0.00</c:formatCode>
                <c:ptCount val="5"/>
                <c:pt idx="0">
                  <c:v>1438.7</c:v>
                </c:pt>
                <c:pt idx="1">
                  <c:v>2774.8</c:v>
                </c:pt>
                <c:pt idx="2">
                  <c:v>3570.62</c:v>
                </c:pt>
                <c:pt idx="3">
                  <c:v>5834.7</c:v>
                </c:pt>
                <c:pt idx="4" formatCode="General">
                  <c:v>6734.44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F-466F-B417-862B912DAF4B}"/>
            </c:ext>
          </c:extLst>
        </c:ser>
        <c:ser>
          <c:idx val="2"/>
          <c:order val="2"/>
          <c:tx>
            <c:strRef>
              <c:f>Sheet3!$A$24</c:f>
              <c:strCache>
                <c:ptCount val="1"/>
                <c:pt idx="0">
                  <c:v>Tamil Nadu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Sheet3!$B$21:$F$21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Sheet3!$B$24:$F$24</c:f>
              <c:numCache>
                <c:formatCode>0.00</c:formatCode>
                <c:ptCount val="5"/>
                <c:pt idx="0">
                  <c:v>3462</c:v>
                </c:pt>
                <c:pt idx="1">
                  <c:v>3896.8249999999998</c:v>
                </c:pt>
                <c:pt idx="2">
                  <c:v>4331.6499999999996</c:v>
                </c:pt>
                <c:pt idx="3">
                  <c:v>3895.65</c:v>
                </c:pt>
                <c:pt idx="4" formatCode="General">
                  <c:v>4905.4799999999996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FF-466F-B417-862B912DAF4B}"/>
            </c:ext>
          </c:extLst>
        </c:ser>
        <c:ser>
          <c:idx val="3"/>
          <c:order val="3"/>
          <c:tx>
            <c:strRef>
              <c:f>Sheet3!$A$25</c:f>
              <c:strCache>
                <c:ptCount val="1"/>
                <c:pt idx="0">
                  <c:v>Uttar Pradesh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Sheet3!$B$21:$F$21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Sheet3!$B$25:$F$25</c:f>
              <c:numCache>
                <c:formatCode>0.00</c:formatCode>
                <c:ptCount val="5"/>
                <c:pt idx="0">
                  <c:v>1100</c:v>
                </c:pt>
                <c:pt idx="1">
                  <c:v>1346.1</c:v>
                </c:pt>
                <c:pt idx="2">
                  <c:v>3061.21</c:v>
                </c:pt>
                <c:pt idx="3">
                  <c:v>3387.51</c:v>
                </c:pt>
                <c:pt idx="4" formatCode="General">
                  <c:v>4757.84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FF-466F-B417-862B912DAF4B}"/>
            </c:ext>
          </c:extLst>
        </c:ser>
        <c:ser>
          <c:idx val="4"/>
          <c:order val="4"/>
          <c:tx>
            <c:strRef>
              <c:f>Sheet3!$A$26</c:f>
              <c:strCache>
                <c:ptCount val="1"/>
                <c:pt idx="0">
                  <c:v>Gujarat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Sheet3!$B$21:$F$21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Sheet3!$B$26:$F$26</c:f>
              <c:numCache>
                <c:formatCode>0.00</c:formatCode>
                <c:ptCount val="5"/>
                <c:pt idx="0">
                  <c:v>1979</c:v>
                </c:pt>
                <c:pt idx="1">
                  <c:v>3978</c:v>
                </c:pt>
                <c:pt idx="2">
                  <c:v>4185.5200000000004</c:v>
                </c:pt>
                <c:pt idx="3">
                  <c:v>3907.21</c:v>
                </c:pt>
                <c:pt idx="4" formatCode="General">
                  <c:v>4025.28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FF-466F-B417-862B912DAF4B}"/>
            </c:ext>
          </c:extLst>
        </c:ser>
        <c:ser>
          <c:idx val="5"/>
          <c:order val="5"/>
          <c:tx>
            <c:strRef>
              <c:f>Sheet3!$A$27</c:f>
              <c:strCache>
                <c:ptCount val="1"/>
                <c:pt idx="0">
                  <c:v>Madhya Pradesh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Sheet3!$B$21:$F$21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Sheet3!$B$27:$F$27</c:f>
              <c:numCache>
                <c:formatCode>0.00</c:formatCode>
                <c:ptCount val="5"/>
                <c:pt idx="0">
                  <c:v>750</c:v>
                </c:pt>
                <c:pt idx="1">
                  <c:v>1719.6</c:v>
                </c:pt>
                <c:pt idx="2">
                  <c:v>1758.05</c:v>
                </c:pt>
                <c:pt idx="3">
                  <c:v>2025.46</c:v>
                </c:pt>
                <c:pt idx="4" formatCode="General">
                  <c:v>2463.36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FF-466F-B417-862B912DA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9449311"/>
        <c:axId val="1689435871"/>
      </c:barChart>
      <c:catAx>
        <c:axId val="1689449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endParaRPr lang="en-US"/>
          </a:p>
        </c:txPr>
        <c:crossAx val="1689435871"/>
        <c:crosses val="autoZero"/>
        <c:auto val="1"/>
        <c:lblAlgn val="ctr"/>
        <c:lblOffset val="100"/>
        <c:noMultiLvlLbl val="0"/>
      </c:catAx>
      <c:valAx>
        <c:axId val="168943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r>
                  <a:rPr lang="en-IN"/>
                  <a:t>Production ('000 tons)</a:t>
                </a:r>
              </a:p>
            </c:rich>
          </c:tx>
          <c:layout>
            <c:manualLayout>
              <c:xMode val="edge"/>
              <c:yMode val="edge"/>
              <c:x val="1.3821527082846995E-2"/>
              <c:y val="0.295588972898657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endParaRPr lang="en-US"/>
          </a:p>
        </c:txPr>
        <c:crossAx val="168944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453807531426288"/>
          <c:y val="0.13692170092454142"/>
          <c:w val="0.82730768212471584"/>
          <c:h val="6.87232799107048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Cambria Math" panose="02040503050406030204" pitchFamily="18" charset="0"/>
          <a:ea typeface="Cambria Math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r>
              <a:rPr lang="en-IN" sz="1200" b="1"/>
              <a:t>Year</a:t>
            </a:r>
            <a:r>
              <a:rPr lang="en-IN" sz="1200" b="1" baseline="0"/>
              <a:t> wise growth in Banana Productivity</a:t>
            </a:r>
            <a:endParaRPr lang="en-IN" sz="1200" b="1"/>
          </a:p>
        </c:rich>
      </c:tx>
      <c:layout>
        <c:manualLayout>
          <c:xMode val="edge"/>
          <c:yMode val="edge"/>
          <c:x val="0.30113751030510266"/>
          <c:y val="1.7098038740520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20416652042692"/>
          <c:y val="0.21576311273161028"/>
          <c:w val="0.86610480125501721"/>
          <c:h val="0.629824228296665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Sheet3!$A$32</c:f>
              <c:strCache>
                <c:ptCount val="1"/>
                <c:pt idx="0">
                  <c:v>Maharashtra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Sheet3!$B$31:$F$31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Sheet3!$B$32:$F$32</c:f>
              <c:numCache>
                <c:formatCode>0.00</c:formatCode>
                <c:ptCount val="5"/>
                <c:pt idx="0">
                  <c:v>67.284866468842722</c:v>
                </c:pt>
                <c:pt idx="1">
                  <c:v>53.453416149068325</c:v>
                </c:pt>
                <c:pt idx="2">
                  <c:v>43.496046010064703</c:v>
                </c:pt>
                <c:pt idx="3">
                  <c:v>50.119273676714926</c:v>
                </c:pt>
                <c:pt idx="4">
                  <c:v>58.617317982811734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9-4C47-9960-DC62D84513AE}"/>
            </c:ext>
          </c:extLst>
        </c:ser>
        <c:ser>
          <c:idx val="1"/>
          <c:order val="1"/>
          <c:tx>
            <c:strRef>
              <c:f>Sheet3!$A$33</c:f>
              <c:strCache>
                <c:ptCount val="1"/>
                <c:pt idx="0">
                  <c:v>Andhra Pradesh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Sheet3!$B$31:$F$31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Sheet3!$B$33:$F$33</c:f>
              <c:numCache>
                <c:formatCode>0.00</c:formatCode>
                <c:ptCount val="5"/>
                <c:pt idx="0">
                  <c:v>20.407092198581562</c:v>
                </c:pt>
                <c:pt idx="1">
                  <c:v>35.803870967741936</c:v>
                </c:pt>
                <c:pt idx="2">
                  <c:v>47.155573164289486</c:v>
                </c:pt>
                <c:pt idx="3">
                  <c:v>59.996915167095111</c:v>
                </c:pt>
                <c:pt idx="4">
                  <c:v>60.769175239126511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89-4C47-9960-DC62D84513AE}"/>
            </c:ext>
          </c:extLst>
        </c:ser>
        <c:ser>
          <c:idx val="2"/>
          <c:order val="2"/>
          <c:tx>
            <c:strRef>
              <c:f>Sheet3!$A$34</c:f>
              <c:strCache>
                <c:ptCount val="1"/>
                <c:pt idx="0">
                  <c:v>Tamil Nadu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Sheet3!$B$31:$F$31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Sheet3!$B$34:$F$34</c:f>
              <c:numCache>
                <c:formatCode>0.00</c:formatCode>
                <c:ptCount val="5"/>
                <c:pt idx="0">
                  <c:v>35.950155763239877</c:v>
                </c:pt>
                <c:pt idx="1">
                  <c:v>31.476777059773827</c:v>
                </c:pt>
                <c:pt idx="2">
                  <c:v>45.784272275657962</c:v>
                </c:pt>
                <c:pt idx="3">
                  <c:v>39.898095043015161</c:v>
                </c:pt>
                <c:pt idx="4">
                  <c:v>42.741831489065085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89-4C47-9960-DC62D84513AE}"/>
            </c:ext>
          </c:extLst>
        </c:ser>
        <c:ser>
          <c:idx val="3"/>
          <c:order val="3"/>
          <c:tx>
            <c:strRef>
              <c:f>Sheet3!$A$35</c:f>
              <c:strCache>
                <c:ptCount val="1"/>
                <c:pt idx="0">
                  <c:v>Uttar Pradesh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Sheet3!$B$31:$F$31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Sheet3!$B$35:$F$35</c:f>
              <c:numCache>
                <c:formatCode>0.00</c:formatCode>
                <c:ptCount val="5"/>
                <c:pt idx="0">
                  <c:v>44.176706827309239</c:v>
                </c:pt>
                <c:pt idx="1">
                  <c:v>43.144230769230766</c:v>
                </c:pt>
                <c:pt idx="2">
                  <c:v>45.689701492537317</c:v>
                </c:pt>
                <c:pt idx="3">
                  <c:v>45.913662239089184</c:v>
                </c:pt>
                <c:pt idx="4">
                  <c:v>51.000535963125735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89-4C47-9960-DC62D84513AE}"/>
            </c:ext>
          </c:extLst>
        </c:ser>
        <c:ser>
          <c:idx val="4"/>
          <c:order val="4"/>
          <c:tx>
            <c:strRef>
              <c:f>Sheet3!$A$36</c:f>
              <c:strCache>
                <c:ptCount val="1"/>
                <c:pt idx="0">
                  <c:v>Gujarat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Sheet3!$B$31:$F$31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Sheet3!$B$36:$F$36</c:f>
              <c:numCache>
                <c:formatCode>0.00</c:formatCode>
                <c:ptCount val="5"/>
                <c:pt idx="0">
                  <c:v>41.315240083507305</c:v>
                </c:pt>
                <c:pt idx="1">
                  <c:v>62.645669291338585</c:v>
                </c:pt>
                <c:pt idx="2">
                  <c:v>64.701190292162636</c:v>
                </c:pt>
                <c:pt idx="3">
                  <c:v>65.933344583192707</c:v>
                </c:pt>
                <c:pt idx="4">
                  <c:v>67.2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89-4C47-9960-DC62D84513AE}"/>
            </c:ext>
          </c:extLst>
        </c:ser>
        <c:ser>
          <c:idx val="5"/>
          <c:order val="5"/>
          <c:tx>
            <c:strRef>
              <c:f>Sheet3!$A$37</c:f>
              <c:strCache>
                <c:ptCount val="1"/>
                <c:pt idx="0">
                  <c:v>Madhya Pradesh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Sheet3!$B$31:$F$31</c:f>
              <c:numCache>
                <c:formatCode>General</c:formatCode>
                <c:ptCount val="5"/>
                <c:pt idx="0">
                  <c:v>2005</c:v>
                </c:pt>
                <c:pt idx="1">
                  <c:v>2010</c:v>
                </c:pt>
                <c:pt idx="2">
                  <c:v>2015</c:v>
                </c:pt>
                <c:pt idx="3">
                  <c:v>2020</c:v>
                </c:pt>
                <c:pt idx="4">
                  <c:v>2024</c:v>
                </c:pt>
              </c:numCache>
            </c:numRef>
          </c:cat>
          <c:val>
            <c:numRef>
              <c:f>Sheet3!$B$37:$F$37</c:f>
              <c:numCache>
                <c:formatCode>0.00</c:formatCode>
                <c:ptCount val="5"/>
                <c:pt idx="0">
                  <c:v>59.523809523809526</c:v>
                </c:pt>
                <c:pt idx="1">
                  <c:v>46.601626016260163</c:v>
                </c:pt>
                <c:pt idx="2">
                  <c:v>62.012345679012341</c:v>
                </c:pt>
                <c:pt idx="3">
                  <c:v>68.70624151967435</c:v>
                </c:pt>
                <c:pt idx="4">
                  <c:v>70.644106681961574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89-4C47-9960-DC62D8451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487679"/>
        <c:axId val="1706484319"/>
      </c:barChart>
      <c:catAx>
        <c:axId val="170648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r>
                  <a:rPr lang="en-IN" b="1"/>
                  <a:t>Year</a:t>
                </a:r>
              </a:p>
            </c:rich>
          </c:tx>
          <c:layout>
            <c:manualLayout>
              <c:xMode val="edge"/>
              <c:yMode val="edge"/>
              <c:x val="0.522279417121288"/>
              <c:y val="0.92603405873425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endParaRPr lang="en-US"/>
          </a:p>
        </c:txPr>
        <c:crossAx val="1706484319"/>
        <c:crosses val="autoZero"/>
        <c:auto val="1"/>
        <c:lblAlgn val="ctr"/>
        <c:lblOffset val="100"/>
        <c:noMultiLvlLbl val="0"/>
      </c:catAx>
      <c:valAx>
        <c:axId val="170648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r>
                  <a:rPr lang="en-IN" b="1"/>
                  <a:t>Productivity</a:t>
                </a:r>
                <a:r>
                  <a:rPr lang="en-IN" b="1" baseline="0"/>
                  <a:t> (Tons/Ha)</a:t>
                </a:r>
                <a:endParaRPr lang="en-IN" b="1"/>
              </a:p>
            </c:rich>
          </c:tx>
          <c:layout>
            <c:manualLayout>
              <c:xMode val="edge"/>
              <c:yMode val="edge"/>
              <c:x val="1.7444952162642594E-2"/>
              <c:y val="0.311137184498271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endParaRPr lang="en-US"/>
          </a:p>
        </c:txPr>
        <c:crossAx val="1706487679"/>
        <c:crosses val="autoZero"/>
        <c:crossBetween val="between"/>
      </c:valAx>
      <c:spPr>
        <a:noFill/>
        <a:ln>
          <a:solidFill>
            <a:srgbClr val="C00000"/>
          </a:solidFill>
        </a:ln>
        <a:effectLst/>
      </c:spPr>
    </c:plotArea>
    <c:legend>
      <c:legendPos val="b"/>
      <c:layout>
        <c:manualLayout>
          <c:xMode val="edge"/>
          <c:yMode val="edge"/>
          <c:x val="7.1097562604819267E-2"/>
          <c:y val="9.5164771070282844E-2"/>
          <c:w val="0.89616938367834609"/>
          <c:h val="7.16999988453796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Cambria Math" panose="02040503050406030204" pitchFamily="18" charset="0"/>
          <a:ea typeface="Cambria Math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60960</xdr:colOff>
      <xdr:row>0</xdr:row>
      <xdr:rowOff>175260</xdr:rowOff>
    </xdr:from>
    <xdr:to>
      <xdr:col>15</xdr:col>
      <xdr:colOff>213360</xdr:colOff>
      <xdr:row>19</xdr:row>
      <xdr:rowOff>83820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9840" y="175260"/>
          <a:ext cx="8138160" cy="365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489359</xdr:colOff>
      <xdr:row>8</xdr:row>
      <xdr:rowOff>97871</xdr:rowOff>
    </xdr:from>
    <xdr:to>
      <xdr:col>18</xdr:col>
      <xdr:colOff>258661</xdr:colOff>
      <xdr:row>25</xdr:row>
      <xdr:rowOff>104863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A25271-36CC-E248-887F-3AD767A04A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213221</xdr:colOff>
      <xdr:row>26</xdr:row>
      <xdr:rowOff>37051</xdr:rowOff>
    </xdr:from>
    <xdr:to>
      <xdr:col>17</xdr:col>
      <xdr:colOff>573248</xdr:colOff>
      <xdr:row>42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6BA7AE-EFFF-D25E-DC39-FD3EA8E12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405469</xdr:colOff>
      <xdr:row>45</xdr:row>
      <xdr:rowOff>0</xdr:rowOff>
    </xdr:from>
    <xdr:to>
      <xdr:col>11</xdr:col>
      <xdr:colOff>692094</xdr:colOff>
      <xdr:row>62</xdr:row>
      <xdr:rowOff>13981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A1B455-354C-9646-1016-E35549F89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4"/>
  <sheetViews>
    <sheetView zoomScale="89" workbookViewId="0">
      <pane xSplit="1" topLeftCell="E1" activePane="topRight" state="frozen"/>
      <selection pane="topRight" activeCell="W3" sqref="W3"/>
    </sheetView>
  </sheetViews>
  <sheetFormatPr defaultRowHeight="14.4"/>
  <cols>
    <col min="1" max="1" width="18.33203125" customWidth="1"/>
    <col min="2" max="2" width="11.5546875" bestFit="1" customWidth="1"/>
    <col min="3" max="3" width="11.44140625" bestFit="1" customWidth="1"/>
    <col min="4" max="4" width="13.77734375" customWidth="1"/>
    <col min="5" max="8" width="11.44140625" bestFit="1" customWidth="1"/>
    <col min="9" max="9" width="12.5546875" bestFit="1" customWidth="1"/>
    <col min="10" max="21" width="11.44140625" bestFit="1" customWidth="1"/>
  </cols>
  <sheetData>
    <row r="1" spans="1:21">
      <c r="A1" s="5" t="s">
        <v>0</v>
      </c>
      <c r="B1" s="5">
        <v>2005</v>
      </c>
      <c r="C1" s="5">
        <v>2006</v>
      </c>
      <c r="D1" s="5">
        <v>2007</v>
      </c>
      <c r="E1" s="5">
        <v>2008</v>
      </c>
      <c r="F1" s="5">
        <v>2009</v>
      </c>
      <c r="G1" s="5">
        <v>2010</v>
      </c>
      <c r="H1" s="5">
        <v>2011</v>
      </c>
      <c r="I1" s="5">
        <v>2012</v>
      </c>
      <c r="J1" s="5">
        <v>2013</v>
      </c>
      <c r="K1" s="5">
        <v>2014</v>
      </c>
      <c r="L1" s="5">
        <v>2015</v>
      </c>
      <c r="M1" s="5">
        <v>2016</v>
      </c>
      <c r="N1" s="5">
        <v>2017</v>
      </c>
      <c r="O1" s="5">
        <v>2018</v>
      </c>
      <c r="P1" s="5">
        <v>2019</v>
      </c>
      <c r="Q1" s="5">
        <v>2020</v>
      </c>
      <c r="R1" s="5">
        <v>2021</v>
      </c>
      <c r="S1" s="5">
        <v>2022</v>
      </c>
      <c r="T1" s="5">
        <v>2023</v>
      </c>
      <c r="U1" s="20">
        <v>2024</v>
      </c>
    </row>
    <row r="2" spans="1:21" ht="15.6">
      <c r="A2" s="7" t="s">
        <v>1</v>
      </c>
      <c r="B2" s="15">
        <v>70.5</v>
      </c>
      <c r="C2" s="15">
        <v>72.8</v>
      </c>
      <c r="D2" s="15">
        <v>75.2</v>
      </c>
      <c r="E2" s="15">
        <v>78.900000000000006</v>
      </c>
      <c r="F2" s="15">
        <v>80.599999999999994</v>
      </c>
      <c r="G2" s="15">
        <v>77.5</v>
      </c>
      <c r="H2" s="16">
        <v>79.3</v>
      </c>
      <c r="I2" s="16">
        <v>92.65</v>
      </c>
      <c r="J2" s="16">
        <v>90.48</v>
      </c>
      <c r="K2" s="16">
        <v>84.26</v>
      </c>
      <c r="L2" s="16">
        <v>75.72</v>
      </c>
      <c r="M2" s="16">
        <v>86.32</v>
      </c>
      <c r="N2" s="15">
        <v>88.1</v>
      </c>
      <c r="O2" s="15">
        <v>95.3</v>
      </c>
      <c r="P2" s="16">
        <v>97.7</v>
      </c>
      <c r="Q2" s="16">
        <v>97.25</v>
      </c>
      <c r="R2" s="16">
        <v>109.32</v>
      </c>
      <c r="S2" s="16">
        <v>111.22</v>
      </c>
      <c r="T2" s="11">
        <v>106.02</v>
      </c>
      <c r="U2" s="11">
        <v>110.82</v>
      </c>
    </row>
    <row r="3" spans="1:21" ht="15.6">
      <c r="A3" s="7" t="s">
        <v>2</v>
      </c>
      <c r="B3" s="15">
        <v>4.8</v>
      </c>
      <c r="C3" s="15">
        <v>5</v>
      </c>
      <c r="D3" s="15">
        <v>5.3</v>
      </c>
      <c r="E3" s="15">
        <v>11.9</v>
      </c>
      <c r="F3" s="15">
        <v>12.2</v>
      </c>
      <c r="G3" s="15">
        <v>12.2</v>
      </c>
      <c r="H3" s="16">
        <v>12.8</v>
      </c>
      <c r="I3" s="16">
        <v>6.13</v>
      </c>
      <c r="J3" s="16">
        <v>6.23</v>
      </c>
      <c r="K3" s="16">
        <v>6.5</v>
      </c>
      <c r="L3" s="16">
        <v>5.42</v>
      </c>
      <c r="M3" s="16">
        <v>5.48</v>
      </c>
      <c r="N3" s="15">
        <v>5.3</v>
      </c>
      <c r="O3" s="15">
        <v>2.4</v>
      </c>
      <c r="P3" s="16">
        <v>2.2000000000000002</v>
      </c>
      <c r="Q3" s="16">
        <v>2.2000000000000002</v>
      </c>
      <c r="R3" s="16">
        <v>2.54</v>
      </c>
      <c r="S3" s="16">
        <v>2.54</v>
      </c>
      <c r="T3" s="11">
        <v>3.63</v>
      </c>
      <c r="U3" s="11">
        <v>3.63</v>
      </c>
    </row>
    <row r="4" spans="1:21" ht="15.6">
      <c r="A4" s="7" t="s">
        <v>3</v>
      </c>
      <c r="B4" s="15">
        <v>39.799999999999997</v>
      </c>
      <c r="C4" s="15">
        <v>41.5</v>
      </c>
      <c r="D4" s="15">
        <v>43.3</v>
      </c>
      <c r="E4" s="15">
        <v>51.8</v>
      </c>
      <c r="F4" s="15">
        <v>53.4</v>
      </c>
      <c r="G4" s="15">
        <v>46</v>
      </c>
      <c r="H4" s="16">
        <v>47.6</v>
      </c>
      <c r="I4" s="16">
        <v>51.51</v>
      </c>
      <c r="J4" s="16">
        <v>50.81</v>
      </c>
      <c r="K4" s="16">
        <v>52.54</v>
      </c>
      <c r="L4" s="16">
        <v>51.1</v>
      </c>
      <c r="M4" s="16">
        <v>55.42</v>
      </c>
      <c r="N4" s="15">
        <v>54.8</v>
      </c>
      <c r="O4" s="15">
        <v>50.2</v>
      </c>
      <c r="P4" s="16">
        <v>49.45</v>
      </c>
      <c r="Q4" s="16">
        <v>48.78</v>
      </c>
      <c r="R4" s="16">
        <v>58.33</v>
      </c>
      <c r="S4" s="16">
        <v>58.71</v>
      </c>
      <c r="T4" s="11">
        <v>53.86</v>
      </c>
      <c r="U4" s="11">
        <v>53.86</v>
      </c>
    </row>
    <row r="5" spans="1:21" ht="15.6">
      <c r="A5" s="7" t="s">
        <v>4</v>
      </c>
      <c r="B5" s="15">
        <v>26.6</v>
      </c>
      <c r="C5" s="15">
        <v>27.8</v>
      </c>
      <c r="D5" s="15">
        <v>29</v>
      </c>
      <c r="E5" s="15">
        <v>30.9</v>
      </c>
      <c r="F5" s="15">
        <v>31.5</v>
      </c>
      <c r="G5" s="15">
        <v>30.8</v>
      </c>
      <c r="H5" s="16">
        <v>31.9</v>
      </c>
      <c r="I5" s="16">
        <v>33.06</v>
      </c>
      <c r="J5" s="16">
        <v>34.31</v>
      </c>
      <c r="K5" s="16">
        <v>34.64</v>
      </c>
      <c r="L5" s="16">
        <v>34.799999999999997</v>
      </c>
      <c r="M5" s="16">
        <v>35.15</v>
      </c>
      <c r="N5" s="15">
        <v>35.200000000000003</v>
      </c>
      <c r="O5" s="15">
        <v>35</v>
      </c>
      <c r="P5" s="16">
        <v>34.97</v>
      </c>
      <c r="Q5" s="16">
        <v>35.32</v>
      </c>
      <c r="R5" s="16">
        <v>42.61</v>
      </c>
      <c r="S5" s="16">
        <v>44.08</v>
      </c>
      <c r="T5" s="11">
        <v>42.67</v>
      </c>
      <c r="U5" s="11">
        <v>42.69</v>
      </c>
    </row>
    <row r="6" spans="1:21" ht="15.6">
      <c r="A6" s="7" t="s">
        <v>5</v>
      </c>
      <c r="B6" s="15">
        <v>11.2</v>
      </c>
      <c r="C6" s="15">
        <v>11.9</v>
      </c>
      <c r="D6" s="15">
        <v>12.7</v>
      </c>
      <c r="E6" s="15">
        <v>13.4</v>
      </c>
      <c r="F6" s="15">
        <v>14.1</v>
      </c>
      <c r="G6" s="15">
        <v>13.9</v>
      </c>
      <c r="H6" s="16">
        <v>14.8</v>
      </c>
      <c r="I6" s="16">
        <v>18.68</v>
      </c>
      <c r="J6" s="16">
        <v>20.79</v>
      </c>
      <c r="K6" s="16">
        <v>22.08</v>
      </c>
      <c r="L6" s="16">
        <v>25.76</v>
      </c>
      <c r="M6" s="16">
        <v>27.06</v>
      </c>
      <c r="N6" s="15">
        <v>27.4</v>
      </c>
      <c r="O6" s="15">
        <v>26.8</v>
      </c>
      <c r="P6" s="16">
        <v>25.79</v>
      </c>
      <c r="Q6" s="16">
        <v>24.54</v>
      </c>
      <c r="R6" s="16">
        <v>24.92</v>
      </c>
      <c r="S6" s="16">
        <v>24.54</v>
      </c>
      <c r="T6" s="11">
        <v>23.91</v>
      </c>
      <c r="U6" s="11">
        <v>23.91</v>
      </c>
    </row>
    <row r="7" spans="1:21" ht="15.6">
      <c r="A7" s="7" t="s">
        <v>25</v>
      </c>
      <c r="B7" s="15">
        <v>47.9</v>
      </c>
      <c r="C7" s="15">
        <v>50.6</v>
      </c>
      <c r="D7" s="15">
        <v>53.4</v>
      </c>
      <c r="E7" s="15">
        <v>60.8</v>
      </c>
      <c r="F7" s="15">
        <v>61.9</v>
      </c>
      <c r="G7" s="15">
        <v>63.5</v>
      </c>
      <c r="H7" s="16">
        <v>64.7</v>
      </c>
      <c r="I7" s="16">
        <v>70.58</v>
      </c>
      <c r="J7" s="16">
        <v>66.5</v>
      </c>
      <c r="K7" s="16">
        <v>66.5</v>
      </c>
      <c r="L7" s="16">
        <v>64.69</v>
      </c>
      <c r="M7" s="16">
        <v>64.69</v>
      </c>
      <c r="N7" s="15">
        <v>65.099999999999994</v>
      </c>
      <c r="O7" s="15">
        <v>68.7</v>
      </c>
      <c r="P7" s="16">
        <v>69.540000000000006</v>
      </c>
      <c r="Q7" s="16">
        <v>59.26</v>
      </c>
      <c r="R7" s="16">
        <v>60.09</v>
      </c>
      <c r="S7" s="16">
        <v>60.6</v>
      </c>
      <c r="T7" s="11">
        <v>59.68</v>
      </c>
      <c r="U7" s="11">
        <v>59.9</v>
      </c>
    </row>
    <row r="8" spans="1:21" ht="15.6">
      <c r="A8" s="7" t="s">
        <v>6</v>
      </c>
      <c r="B8" s="15">
        <v>7.0000000000000007E-2</v>
      </c>
      <c r="C8" s="15">
        <v>0.08</v>
      </c>
      <c r="D8" s="15">
        <v>0.08</v>
      </c>
      <c r="E8" s="15">
        <v>0.09</v>
      </c>
      <c r="F8" s="15">
        <v>0.09</v>
      </c>
      <c r="G8" s="15">
        <v>0.1</v>
      </c>
      <c r="H8" s="16">
        <v>0.1</v>
      </c>
      <c r="I8" s="16">
        <v>0.09</v>
      </c>
      <c r="J8" s="16">
        <v>0.09</v>
      </c>
      <c r="K8" s="16">
        <v>0.09</v>
      </c>
      <c r="L8" s="16">
        <v>0.09</v>
      </c>
      <c r="M8" s="16">
        <v>0.09</v>
      </c>
      <c r="N8" s="15">
        <v>0.09</v>
      </c>
      <c r="O8" s="15">
        <v>0.08</v>
      </c>
      <c r="P8" s="16">
        <v>7.0000000000000007E-2</v>
      </c>
      <c r="Q8" s="16">
        <v>7.0000000000000007E-2</v>
      </c>
      <c r="R8" s="16">
        <v>0.1</v>
      </c>
      <c r="S8" s="16">
        <v>0.06</v>
      </c>
      <c r="T8" s="11">
        <v>0.06</v>
      </c>
      <c r="U8" s="11">
        <v>0.06</v>
      </c>
    </row>
    <row r="9" spans="1:21" ht="15.6">
      <c r="A9" s="7" t="s">
        <v>7</v>
      </c>
      <c r="B9" s="15">
        <v>1.9</v>
      </c>
      <c r="C9" s="15">
        <v>2.1</v>
      </c>
      <c r="D9" s="15">
        <v>2.4</v>
      </c>
      <c r="E9" s="15">
        <v>2.7</v>
      </c>
      <c r="F9" s="15">
        <v>2.9</v>
      </c>
      <c r="G9" s="15">
        <v>3</v>
      </c>
      <c r="H9" s="16">
        <v>3.2</v>
      </c>
      <c r="I9" s="16">
        <v>0.52</v>
      </c>
      <c r="J9" s="16">
        <v>0.54</v>
      </c>
      <c r="K9" s="16">
        <v>0.54</v>
      </c>
      <c r="L9" s="16">
        <v>12.53</v>
      </c>
      <c r="M9" s="16">
        <v>9.02</v>
      </c>
      <c r="N9" s="15">
        <v>8.1</v>
      </c>
      <c r="O9" s="15">
        <v>6.2</v>
      </c>
      <c r="P9" s="16">
        <v>5.61</v>
      </c>
      <c r="Q9" s="16">
        <v>5.64</v>
      </c>
      <c r="R9" s="16">
        <v>5.71</v>
      </c>
      <c r="S9" s="16">
        <v>5.86</v>
      </c>
      <c r="T9" s="11">
        <v>5.9</v>
      </c>
      <c r="U9" s="11">
        <v>5.77</v>
      </c>
    </row>
    <row r="10" spans="1:21" ht="15.6">
      <c r="A10" s="7" t="s">
        <v>8</v>
      </c>
      <c r="B10" s="15">
        <v>52.8</v>
      </c>
      <c r="C10" s="15">
        <v>55.4</v>
      </c>
      <c r="D10" s="15">
        <v>58.1</v>
      </c>
      <c r="E10" s="15">
        <v>102.3</v>
      </c>
      <c r="F10" s="15">
        <v>104.4</v>
      </c>
      <c r="G10" s="15">
        <v>110.2</v>
      </c>
      <c r="H10" s="16">
        <v>111.8</v>
      </c>
      <c r="I10" s="16">
        <v>97.4</v>
      </c>
      <c r="J10" s="16">
        <v>102.71</v>
      </c>
      <c r="K10" s="16">
        <v>106.61</v>
      </c>
      <c r="L10" s="16">
        <v>96.63</v>
      </c>
      <c r="M10" s="16">
        <v>101.53</v>
      </c>
      <c r="N10" s="15">
        <v>101.2</v>
      </c>
      <c r="O10" s="15">
        <v>100.9</v>
      </c>
      <c r="P10" s="16">
        <v>101.8</v>
      </c>
      <c r="Q10" s="16">
        <v>128.76</v>
      </c>
      <c r="R10" s="16">
        <v>129.63999999999999</v>
      </c>
      <c r="S10" s="16">
        <v>108.31</v>
      </c>
      <c r="T10" s="11">
        <v>109.2</v>
      </c>
      <c r="U10" s="11">
        <v>45.71</v>
      </c>
    </row>
    <row r="11" spans="1:21" ht="15.6">
      <c r="A11" s="7" t="s">
        <v>9</v>
      </c>
      <c r="B11" s="15">
        <v>56.7</v>
      </c>
      <c r="C11" s="15">
        <v>58</v>
      </c>
      <c r="D11" s="15">
        <v>59.1</v>
      </c>
      <c r="E11" s="15">
        <v>55.6</v>
      </c>
      <c r="F11" s="15">
        <v>57</v>
      </c>
      <c r="G11" s="15">
        <v>57.4</v>
      </c>
      <c r="H11" s="16">
        <v>58.7</v>
      </c>
      <c r="I11" s="16">
        <v>61.01</v>
      </c>
      <c r="J11" s="16">
        <v>34.46</v>
      </c>
      <c r="K11" s="16">
        <v>118.5</v>
      </c>
      <c r="L11" s="16">
        <v>84.56</v>
      </c>
      <c r="M11" s="16">
        <v>81.510000000000005</v>
      </c>
      <c r="N11" s="15">
        <v>83</v>
      </c>
      <c r="O11" s="15">
        <v>115.4</v>
      </c>
      <c r="P11" s="16">
        <v>116.88</v>
      </c>
      <c r="Q11" s="16">
        <v>111.26</v>
      </c>
      <c r="R11" s="16">
        <v>100.92</v>
      </c>
      <c r="S11" s="16">
        <v>101.94</v>
      </c>
      <c r="T11" s="11">
        <v>102.4</v>
      </c>
      <c r="U11" s="11">
        <v>47.95</v>
      </c>
    </row>
    <row r="12" spans="1:21" ht="15.6">
      <c r="A12" s="7" t="s">
        <v>10</v>
      </c>
      <c r="B12" s="15">
        <v>12.6</v>
      </c>
      <c r="C12" s="15">
        <v>13.8</v>
      </c>
      <c r="D12" s="15">
        <v>14.9</v>
      </c>
      <c r="E12" s="15">
        <v>31.7</v>
      </c>
      <c r="F12" s="15">
        <v>33</v>
      </c>
      <c r="G12" s="15">
        <v>36.9</v>
      </c>
      <c r="H12" s="16">
        <v>38.1</v>
      </c>
      <c r="I12" s="16">
        <v>25.76</v>
      </c>
      <c r="J12" s="16">
        <v>26.27</v>
      </c>
      <c r="K12" s="16">
        <v>27.8</v>
      </c>
      <c r="L12" s="16">
        <v>28.35</v>
      </c>
      <c r="M12" s="16">
        <v>24.31</v>
      </c>
      <c r="N12" s="15">
        <v>25.1</v>
      </c>
      <c r="O12" s="15">
        <v>26.1</v>
      </c>
      <c r="P12" s="16">
        <v>26.64</v>
      </c>
      <c r="Q12" s="16">
        <v>29.48</v>
      </c>
      <c r="R12" s="16">
        <v>32.24</v>
      </c>
      <c r="S12" s="16">
        <v>34.340000000000003</v>
      </c>
      <c r="T12" s="11">
        <v>33.950000000000003</v>
      </c>
      <c r="U12" s="11">
        <v>34.869999999999997</v>
      </c>
    </row>
    <row r="13" spans="1:21" ht="15.6">
      <c r="A13" s="7" t="s">
        <v>11</v>
      </c>
      <c r="B13" s="15">
        <v>67.400000000000006</v>
      </c>
      <c r="C13" s="15">
        <v>70.2</v>
      </c>
      <c r="D13" s="15">
        <v>73.400000000000006</v>
      </c>
      <c r="E13" s="15">
        <v>83</v>
      </c>
      <c r="F13" s="15">
        <v>85</v>
      </c>
      <c r="G13" s="15">
        <v>80.5</v>
      </c>
      <c r="H13" s="16">
        <v>82</v>
      </c>
      <c r="I13" s="16">
        <v>82</v>
      </c>
      <c r="J13" s="16">
        <v>83</v>
      </c>
      <c r="K13" s="16">
        <v>61.31</v>
      </c>
      <c r="L13" s="16">
        <v>69.55</v>
      </c>
      <c r="M13" s="16">
        <v>74.680000000000007</v>
      </c>
      <c r="N13" s="15">
        <v>75.3</v>
      </c>
      <c r="O13" s="15">
        <v>75.8</v>
      </c>
      <c r="P13" s="16">
        <v>76.94</v>
      </c>
      <c r="Q13" s="16">
        <v>84.26</v>
      </c>
      <c r="R13" s="16">
        <v>90.37</v>
      </c>
      <c r="S13" s="16">
        <v>101.12</v>
      </c>
      <c r="T13" s="11">
        <v>103.5</v>
      </c>
      <c r="U13" s="11">
        <v>123.34</v>
      </c>
    </row>
    <row r="14" spans="1:21" ht="15.6">
      <c r="A14" s="7" t="s">
        <v>12</v>
      </c>
      <c r="B14" s="15">
        <v>5</v>
      </c>
      <c r="C14" s="15">
        <v>5.3</v>
      </c>
      <c r="D14" s="15">
        <v>5.6</v>
      </c>
      <c r="E14" s="15">
        <v>6.1</v>
      </c>
      <c r="F14" s="15">
        <v>6.4</v>
      </c>
      <c r="G14" s="15">
        <v>32.799999999999997</v>
      </c>
      <c r="H14" s="16">
        <v>33.700000000000003</v>
      </c>
      <c r="I14" s="16">
        <v>6.58</v>
      </c>
      <c r="J14" s="16">
        <v>6.7</v>
      </c>
      <c r="K14" s="16">
        <v>7.01</v>
      </c>
      <c r="L14" s="16">
        <v>6.95</v>
      </c>
      <c r="M14" s="16">
        <v>6.65</v>
      </c>
      <c r="N14" s="15">
        <v>6.6</v>
      </c>
      <c r="O14" s="15">
        <v>6.5</v>
      </c>
      <c r="P14" s="16">
        <v>6.46</v>
      </c>
      <c r="Q14" s="16">
        <v>6.18</v>
      </c>
      <c r="R14" s="16">
        <v>6.02</v>
      </c>
      <c r="S14" s="16">
        <v>6.02</v>
      </c>
      <c r="T14" s="11">
        <v>6.25</v>
      </c>
      <c r="U14" s="11">
        <v>6.12</v>
      </c>
    </row>
    <row r="15" spans="1:21" ht="15.6">
      <c r="A15" s="7" t="s">
        <v>13</v>
      </c>
      <c r="B15" s="15">
        <v>5.4</v>
      </c>
      <c r="C15" s="15">
        <v>5.7</v>
      </c>
      <c r="D15" s="15">
        <v>6</v>
      </c>
      <c r="E15" s="15">
        <v>6.6</v>
      </c>
      <c r="F15" s="15">
        <v>6.8</v>
      </c>
      <c r="G15" s="15">
        <v>5.6</v>
      </c>
      <c r="H15" s="16">
        <v>5.8</v>
      </c>
      <c r="I15" s="16">
        <v>6.96</v>
      </c>
      <c r="J15" s="16">
        <v>7.04</v>
      </c>
      <c r="K15" s="16">
        <v>7.1</v>
      </c>
      <c r="L15" s="16">
        <v>7.11</v>
      </c>
      <c r="M15" s="16">
        <v>7.24</v>
      </c>
      <c r="N15" s="15">
        <v>7.25</v>
      </c>
      <c r="O15" s="15">
        <v>7.3</v>
      </c>
      <c r="P15" s="16">
        <v>7.28</v>
      </c>
      <c r="Q15" s="16">
        <v>7.3</v>
      </c>
      <c r="R15" s="16">
        <v>7.42</v>
      </c>
      <c r="S15" s="16">
        <v>7.77</v>
      </c>
      <c r="T15" s="11">
        <v>7.94</v>
      </c>
      <c r="U15" s="11">
        <v>7.95</v>
      </c>
    </row>
    <row r="16" spans="1:21" ht="15.6">
      <c r="A16" s="7" t="s">
        <v>14</v>
      </c>
      <c r="B16" s="15">
        <v>9.1</v>
      </c>
      <c r="C16" s="15">
        <v>9.4</v>
      </c>
      <c r="D16" s="15">
        <v>9.8000000000000007</v>
      </c>
      <c r="E16" s="15">
        <v>10.3</v>
      </c>
      <c r="F16" s="15">
        <v>10.6</v>
      </c>
      <c r="G16" s="15">
        <v>9.6999999999999993</v>
      </c>
      <c r="H16" s="16">
        <v>10</v>
      </c>
      <c r="I16" s="16">
        <v>10.54</v>
      </c>
      <c r="J16" s="16">
        <v>10.84</v>
      </c>
      <c r="K16" s="16">
        <v>11.2</v>
      </c>
      <c r="L16" s="16">
        <v>10.91</v>
      </c>
      <c r="M16" s="16">
        <v>10.94</v>
      </c>
      <c r="N16" s="15">
        <v>11</v>
      </c>
      <c r="O16" s="15">
        <v>11.2</v>
      </c>
      <c r="P16" s="16">
        <v>11.43</v>
      </c>
      <c r="Q16" s="16">
        <v>11.43</v>
      </c>
      <c r="R16" s="16">
        <v>11.68</v>
      </c>
      <c r="S16" s="16">
        <v>11.68</v>
      </c>
      <c r="T16" s="11">
        <v>11.68</v>
      </c>
      <c r="U16" s="11">
        <v>11.68</v>
      </c>
    </row>
    <row r="17" spans="1:21" ht="15.6">
      <c r="A17" s="7" t="s">
        <v>15</v>
      </c>
      <c r="B17" s="15">
        <v>5.6</v>
      </c>
      <c r="C17" s="15">
        <v>5.9</v>
      </c>
      <c r="D17" s="15">
        <v>6.2</v>
      </c>
      <c r="E17" s="15">
        <v>6.6</v>
      </c>
      <c r="F17" s="15">
        <v>6.9</v>
      </c>
      <c r="G17" s="15">
        <v>6.2</v>
      </c>
      <c r="H17" s="16">
        <v>6.2</v>
      </c>
      <c r="I17" s="16">
        <v>7</v>
      </c>
      <c r="J17" s="16">
        <v>7.32</v>
      </c>
      <c r="K17" s="16">
        <v>7.32</v>
      </c>
      <c r="L17" s="16">
        <v>7.25</v>
      </c>
      <c r="M17" s="16">
        <v>7.34</v>
      </c>
      <c r="N17" s="15">
        <v>7.3</v>
      </c>
      <c r="O17" s="15">
        <v>7</v>
      </c>
      <c r="P17" s="16">
        <v>6.9</v>
      </c>
      <c r="Q17" s="16">
        <v>6.94</v>
      </c>
      <c r="R17" s="16">
        <v>7</v>
      </c>
      <c r="S17" s="16">
        <v>7.24</v>
      </c>
      <c r="T17" s="11">
        <v>7.27</v>
      </c>
      <c r="U17" s="11">
        <v>7.3</v>
      </c>
    </row>
    <row r="18" spans="1:21" ht="15.6">
      <c r="A18" s="7" t="s">
        <v>16</v>
      </c>
      <c r="B18" s="15">
        <v>20.2</v>
      </c>
      <c r="C18" s="15">
        <v>21.1</v>
      </c>
      <c r="D18" s="15">
        <v>22.2</v>
      </c>
      <c r="E18" s="15">
        <v>24.8</v>
      </c>
      <c r="F18" s="15">
        <v>25.3</v>
      </c>
      <c r="G18" s="15">
        <v>25.8</v>
      </c>
      <c r="H18" s="16">
        <v>26.9</v>
      </c>
      <c r="I18" s="16">
        <v>27.49</v>
      </c>
      <c r="J18" s="16">
        <v>25.06</v>
      </c>
      <c r="K18" s="16">
        <v>24.73</v>
      </c>
      <c r="L18" s="16">
        <v>24.47</v>
      </c>
      <c r="M18" s="16">
        <v>24.49</v>
      </c>
      <c r="N18" s="15">
        <v>24.3</v>
      </c>
      <c r="O18" s="15">
        <v>23.1</v>
      </c>
      <c r="P18" s="16">
        <v>22.66</v>
      </c>
      <c r="Q18" s="16">
        <v>23.61</v>
      </c>
      <c r="R18" s="16">
        <v>23.67</v>
      </c>
      <c r="S18" s="16">
        <v>23.7</v>
      </c>
      <c r="T18" s="11">
        <v>23.55</v>
      </c>
      <c r="U18" s="11">
        <v>23.55</v>
      </c>
    </row>
    <row r="19" spans="1:21" ht="15.6">
      <c r="A19" s="7" t="s">
        <v>17</v>
      </c>
      <c r="B19" s="15">
        <v>0.13</v>
      </c>
      <c r="C19" s="15">
        <v>0.14000000000000001</v>
      </c>
      <c r="D19" s="15">
        <v>0.15</v>
      </c>
      <c r="E19" s="15">
        <v>0.16</v>
      </c>
      <c r="F19" s="15">
        <v>0.17</v>
      </c>
      <c r="G19" s="15">
        <v>0.19</v>
      </c>
      <c r="H19" s="16">
        <v>0.2</v>
      </c>
      <c r="I19" s="16">
        <v>0.17</v>
      </c>
      <c r="J19" s="16">
        <v>0.16</v>
      </c>
      <c r="K19" s="16">
        <v>0.17</v>
      </c>
      <c r="L19" s="16">
        <v>0.11</v>
      </c>
      <c r="M19" s="16">
        <v>0.12</v>
      </c>
      <c r="N19" s="15">
        <v>0.11</v>
      </c>
      <c r="O19" s="15">
        <v>0.11</v>
      </c>
      <c r="P19" s="16">
        <v>0.1</v>
      </c>
      <c r="Q19" s="16">
        <v>0.15</v>
      </c>
      <c r="R19" s="16">
        <v>0.19</v>
      </c>
      <c r="S19" s="16">
        <v>0.19</v>
      </c>
      <c r="T19" s="11">
        <v>0.19</v>
      </c>
      <c r="U19" s="11">
        <v>0.24</v>
      </c>
    </row>
    <row r="20" spans="1:21" ht="15.6">
      <c r="A20" s="7" t="s">
        <v>18</v>
      </c>
      <c r="B20" s="15">
        <v>0.04</v>
      </c>
      <c r="C20" s="15">
        <v>0.04</v>
      </c>
      <c r="D20" s="15">
        <v>0.05</v>
      </c>
      <c r="E20" s="15">
        <v>0.05</v>
      </c>
      <c r="F20" s="15">
        <v>0.05</v>
      </c>
      <c r="G20" s="15">
        <v>0.09</v>
      </c>
      <c r="H20" s="16">
        <v>0.1</v>
      </c>
      <c r="I20" s="16">
        <v>0.04</v>
      </c>
      <c r="J20" s="16">
        <v>0.04</v>
      </c>
      <c r="K20" s="16">
        <v>0.06</v>
      </c>
      <c r="L20" s="16">
        <v>0.03</v>
      </c>
      <c r="M20" s="16">
        <v>0.04</v>
      </c>
      <c r="N20" s="15">
        <v>0.04</v>
      </c>
      <c r="O20" s="15">
        <v>0.03</v>
      </c>
      <c r="P20" s="16">
        <v>0.03</v>
      </c>
      <c r="Q20" s="16">
        <v>0.04</v>
      </c>
      <c r="R20" s="16">
        <v>0.03</v>
      </c>
      <c r="S20" s="16">
        <v>0.04</v>
      </c>
      <c r="T20" s="11">
        <v>0.04</v>
      </c>
      <c r="U20" s="11">
        <v>0.04</v>
      </c>
    </row>
    <row r="21" spans="1:21" ht="15.6">
      <c r="A21" s="7" t="s">
        <v>19</v>
      </c>
      <c r="B21" s="15">
        <v>0.9</v>
      </c>
      <c r="C21" s="15">
        <v>1</v>
      </c>
      <c r="D21" s="15">
        <v>1.1000000000000001</v>
      </c>
      <c r="E21" s="15">
        <v>1.3</v>
      </c>
      <c r="F21" s="15">
        <v>1.4</v>
      </c>
      <c r="G21" s="15">
        <v>1.4</v>
      </c>
      <c r="H21" s="16">
        <v>1.5</v>
      </c>
      <c r="I21" s="16">
        <v>1.62</v>
      </c>
      <c r="J21" s="16">
        <v>1.63</v>
      </c>
      <c r="K21" s="16">
        <v>1.71</v>
      </c>
      <c r="L21" s="16">
        <v>1.1499999999999999</v>
      </c>
      <c r="M21" s="16">
        <v>1.2</v>
      </c>
      <c r="N21" s="15">
        <v>1.22</v>
      </c>
      <c r="O21" s="15">
        <v>1.25</v>
      </c>
      <c r="P21" s="16">
        <v>1.29</v>
      </c>
      <c r="Q21" s="16">
        <v>1.3</v>
      </c>
      <c r="R21" s="16">
        <v>1.3</v>
      </c>
      <c r="S21" s="16">
        <v>1.3</v>
      </c>
      <c r="T21" s="11">
        <v>1.3</v>
      </c>
      <c r="U21" s="11">
        <v>1.31</v>
      </c>
    </row>
    <row r="22" spans="1:21" ht="15.6">
      <c r="A22" s="7" t="s">
        <v>20</v>
      </c>
      <c r="B22" s="15">
        <v>96.3</v>
      </c>
      <c r="C22" s="15">
        <v>99.6</v>
      </c>
      <c r="D22" s="15">
        <v>102.2</v>
      </c>
      <c r="E22" s="15">
        <v>110.8</v>
      </c>
      <c r="F22" s="15">
        <v>113.7</v>
      </c>
      <c r="G22" s="15">
        <v>123.8</v>
      </c>
      <c r="H22" s="16">
        <v>125.4</v>
      </c>
      <c r="I22" s="16">
        <v>111.36</v>
      </c>
      <c r="J22" s="16">
        <v>118.04</v>
      </c>
      <c r="K22" s="16">
        <v>123.93</v>
      </c>
      <c r="L22" s="16">
        <v>94.61</v>
      </c>
      <c r="M22" s="16">
        <v>94.99</v>
      </c>
      <c r="N22" s="15">
        <v>94.2</v>
      </c>
      <c r="O22" s="15">
        <v>93.5</v>
      </c>
      <c r="P22" s="16">
        <v>92.41</v>
      </c>
      <c r="Q22" s="16">
        <v>97.64</v>
      </c>
      <c r="R22" s="16">
        <v>102.19</v>
      </c>
      <c r="S22" s="16">
        <v>109.37</v>
      </c>
      <c r="T22" s="11">
        <v>108.1</v>
      </c>
      <c r="U22" s="11">
        <v>114.77</v>
      </c>
    </row>
    <row r="23" spans="1:21" ht="15.6">
      <c r="A23" s="7" t="s">
        <v>21</v>
      </c>
      <c r="B23" s="15">
        <v>6.8</v>
      </c>
      <c r="C23" s="15">
        <v>6.8</v>
      </c>
      <c r="D23" s="15">
        <v>6.8</v>
      </c>
      <c r="E23" s="15">
        <v>6.8</v>
      </c>
      <c r="F23" s="15">
        <v>7.1</v>
      </c>
      <c r="G23" s="15">
        <v>7.6</v>
      </c>
      <c r="H23" s="17">
        <f>(G23+I23)/2</f>
        <v>8</v>
      </c>
      <c r="I23" s="16">
        <v>8.4</v>
      </c>
      <c r="J23" s="16">
        <v>8.61</v>
      </c>
      <c r="K23" s="16">
        <v>8.77</v>
      </c>
      <c r="L23" s="16">
        <v>4.6500000000000004</v>
      </c>
      <c r="M23" s="16">
        <v>3.88</v>
      </c>
      <c r="N23" s="15">
        <v>3.5</v>
      </c>
      <c r="O23" s="15">
        <v>3.2</v>
      </c>
      <c r="P23" s="16">
        <v>2.27</v>
      </c>
      <c r="Q23" s="16">
        <v>2.19</v>
      </c>
      <c r="R23" s="16">
        <v>2.33</v>
      </c>
      <c r="S23" s="16">
        <v>2.2999999999999998</v>
      </c>
      <c r="T23" s="11">
        <v>2.2799999999999998</v>
      </c>
      <c r="U23" s="11">
        <v>1.83</v>
      </c>
    </row>
    <row r="24" spans="1:21" ht="15.6">
      <c r="A24" s="7" t="s">
        <v>22</v>
      </c>
      <c r="B24" s="15">
        <v>10.199999999999999</v>
      </c>
      <c r="C24" s="15">
        <v>10.8</v>
      </c>
      <c r="D24" s="15">
        <v>11.5</v>
      </c>
      <c r="E24" s="15">
        <v>12.4</v>
      </c>
      <c r="F24" s="15">
        <v>13</v>
      </c>
      <c r="G24" s="15">
        <v>7.4</v>
      </c>
      <c r="H24" s="16">
        <v>7.8</v>
      </c>
      <c r="I24" s="16">
        <v>13.58</v>
      </c>
      <c r="J24" s="16">
        <v>13.64</v>
      </c>
      <c r="K24" s="16">
        <v>13.64</v>
      </c>
      <c r="L24" s="16">
        <v>14.62</v>
      </c>
      <c r="M24" s="16">
        <v>14.47</v>
      </c>
      <c r="N24" s="15">
        <v>14.3</v>
      </c>
      <c r="O24" s="15">
        <v>11</v>
      </c>
      <c r="P24" s="16">
        <v>10.66</v>
      </c>
      <c r="Q24" s="16">
        <v>10.75</v>
      </c>
      <c r="R24" s="16">
        <v>10.68</v>
      </c>
      <c r="S24" s="16">
        <v>11.67</v>
      </c>
      <c r="T24" s="11">
        <v>11.68</v>
      </c>
      <c r="U24" s="11">
        <v>11.68</v>
      </c>
    </row>
    <row r="25" spans="1:21" ht="15.6">
      <c r="A25" s="7" t="s">
        <v>23</v>
      </c>
      <c r="B25" s="15">
        <v>24.9</v>
      </c>
      <c r="C25" s="15">
        <v>26.1</v>
      </c>
      <c r="D25" s="15">
        <v>27.4</v>
      </c>
      <c r="E25" s="15">
        <v>29.6</v>
      </c>
      <c r="F25" s="15">
        <v>30.4</v>
      </c>
      <c r="G25" s="15">
        <v>31.2</v>
      </c>
      <c r="H25" s="16">
        <v>32.4</v>
      </c>
      <c r="I25" s="16">
        <v>2.35</v>
      </c>
      <c r="J25" s="16">
        <v>37.26</v>
      </c>
      <c r="K25" s="16">
        <v>41.74</v>
      </c>
      <c r="L25" s="16">
        <v>67</v>
      </c>
      <c r="M25" s="16">
        <v>67.400000000000006</v>
      </c>
      <c r="N25" s="15">
        <v>69.5</v>
      </c>
      <c r="O25" s="15">
        <v>70.8</v>
      </c>
      <c r="P25" s="16">
        <v>72.59</v>
      </c>
      <c r="Q25" s="16">
        <v>73.78</v>
      </c>
      <c r="R25" s="16">
        <v>73.86</v>
      </c>
      <c r="S25" s="16">
        <v>89.93</v>
      </c>
      <c r="T25" s="11">
        <v>90.1</v>
      </c>
      <c r="U25" s="11">
        <v>93.29</v>
      </c>
    </row>
    <row r="26" spans="1:21" ht="15.6">
      <c r="A26" s="7" t="s">
        <v>24</v>
      </c>
      <c r="B26" s="15">
        <v>28.7</v>
      </c>
      <c r="C26" s="15">
        <v>30.2</v>
      </c>
      <c r="D26" s="15">
        <v>31.7</v>
      </c>
      <c r="E26" s="15">
        <v>39.5</v>
      </c>
      <c r="F26" s="15">
        <v>41</v>
      </c>
      <c r="G26" s="15">
        <v>40.9</v>
      </c>
      <c r="H26" s="16">
        <v>42</v>
      </c>
      <c r="I26" s="16">
        <v>44.7</v>
      </c>
      <c r="J26" s="16">
        <v>45.5</v>
      </c>
      <c r="K26" s="16">
        <v>46.6</v>
      </c>
      <c r="L26" s="16">
        <v>48.07</v>
      </c>
      <c r="M26" s="16">
        <v>49</v>
      </c>
      <c r="N26" s="15">
        <v>49.4</v>
      </c>
      <c r="O26" s="15">
        <v>49.8</v>
      </c>
      <c r="P26" s="16">
        <v>50.47</v>
      </c>
      <c r="Q26" s="16">
        <v>51.6</v>
      </c>
      <c r="R26" s="16">
        <v>55.1</v>
      </c>
      <c r="S26" s="16">
        <v>65.150000000000006</v>
      </c>
      <c r="T26" s="11">
        <v>60.4</v>
      </c>
      <c r="U26" s="11">
        <v>65.5</v>
      </c>
    </row>
    <row r="27" spans="1:21" ht="15.6">
      <c r="A27" s="7" t="s">
        <v>27</v>
      </c>
      <c r="B27" s="44">
        <f>SUM(B2:B26)</f>
        <v>605.54</v>
      </c>
      <c r="C27" s="44">
        <f t="shared" ref="C27:U27" si="0">SUM(C2:C26)</f>
        <v>631.26</v>
      </c>
      <c r="D27" s="44">
        <f t="shared" si="0"/>
        <v>657.58</v>
      </c>
      <c r="E27" s="44">
        <f t="shared" si="0"/>
        <v>778.0999999999998</v>
      </c>
      <c r="F27" s="44">
        <f t="shared" si="0"/>
        <v>798.90999999999985</v>
      </c>
      <c r="G27" s="44">
        <f t="shared" si="0"/>
        <v>824.68000000000006</v>
      </c>
      <c r="H27" s="44">
        <f t="shared" si="0"/>
        <v>845</v>
      </c>
      <c r="I27" s="44">
        <f t="shared" si="0"/>
        <v>780.18000000000006</v>
      </c>
      <c r="J27" s="44">
        <f t="shared" si="0"/>
        <v>798.02999999999986</v>
      </c>
      <c r="K27" s="44">
        <f t="shared" si="0"/>
        <v>875.34999999999991</v>
      </c>
      <c r="L27" s="44">
        <f t="shared" si="0"/>
        <v>836.13</v>
      </c>
      <c r="M27" s="44">
        <f t="shared" si="0"/>
        <v>853.0200000000001</v>
      </c>
      <c r="N27" s="44">
        <f t="shared" si="0"/>
        <v>857.40999999999985</v>
      </c>
      <c r="O27" s="44">
        <f t="shared" si="0"/>
        <v>887.67</v>
      </c>
      <c r="P27" s="44">
        <f t="shared" si="0"/>
        <v>892.14</v>
      </c>
      <c r="Q27" s="44">
        <f t="shared" si="0"/>
        <v>919.7299999999999</v>
      </c>
      <c r="R27" s="44">
        <f t="shared" si="0"/>
        <v>958.26</v>
      </c>
      <c r="S27" s="44">
        <f t="shared" si="0"/>
        <v>989.68</v>
      </c>
      <c r="T27" s="44">
        <f t="shared" si="0"/>
        <v>975.55999999999983</v>
      </c>
      <c r="U27" s="44">
        <f t="shared" si="0"/>
        <v>897.76999999999975</v>
      </c>
    </row>
    <row r="28" spans="1:2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ht="15.6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</row>
    <row r="30" spans="1:21" ht="15.6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</row>
    <row r="31" spans="1:21" ht="15.6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</row>
    <row r="32" spans="1:21" ht="15.6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</row>
    <row r="33" spans="1:23" ht="15.6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</row>
    <row r="34" spans="1:23" ht="15.6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</row>
    <row r="35" spans="1:23" ht="15.6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</row>
    <row r="36" spans="1:23" ht="15.6">
      <c r="A36" s="38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</row>
    <row r="37" spans="1:23" ht="15.6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9"/>
      <c r="W37" s="9"/>
    </row>
    <row r="38" spans="1:23" ht="15.6">
      <c r="A38" s="3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10"/>
      <c r="W38" s="10"/>
    </row>
    <row r="39" spans="1:23" ht="15.6">
      <c r="A39" s="38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10"/>
      <c r="W39" s="10"/>
    </row>
    <row r="40" spans="1:23" ht="15.6">
      <c r="A40" s="38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10"/>
      <c r="W40" s="10"/>
    </row>
    <row r="41" spans="1:23" ht="15.6">
      <c r="A41" s="38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10"/>
      <c r="W41" s="10"/>
    </row>
    <row r="42" spans="1:23" ht="15.6">
      <c r="A42" s="3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10"/>
      <c r="W42" s="10"/>
    </row>
    <row r="43" spans="1:23" ht="15.6">
      <c r="A43" s="38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10"/>
      <c r="W43" s="10"/>
    </row>
    <row r="44" spans="1:23" ht="15.6">
      <c r="A44" s="38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10"/>
      <c r="W44" s="10"/>
    </row>
    <row r="45" spans="1:23" ht="15.6">
      <c r="A45" s="38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10"/>
      <c r="W45" s="10"/>
    </row>
    <row r="46" spans="1:23" ht="15.6">
      <c r="A46" s="38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10"/>
      <c r="W46" s="10"/>
    </row>
    <row r="47" spans="1:23" ht="15.6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10"/>
      <c r="W47" s="10"/>
    </row>
    <row r="48" spans="1:23" ht="15.6">
      <c r="A48" s="38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10"/>
      <c r="W48" s="10"/>
    </row>
    <row r="49" spans="1:23" ht="15.6">
      <c r="A49" s="38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10"/>
      <c r="W49" s="10"/>
    </row>
    <row r="50" spans="1:23" ht="15.6">
      <c r="A50" s="38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10"/>
      <c r="W50" s="10"/>
    </row>
    <row r="51" spans="1:23" ht="15.6">
      <c r="A51" s="38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10"/>
      <c r="W51" s="10"/>
    </row>
    <row r="52" spans="1:23" ht="15.6">
      <c r="A52" s="38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10"/>
      <c r="W52" s="10"/>
    </row>
    <row r="53" spans="1:23" ht="15.6">
      <c r="A53" s="38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10"/>
      <c r="W53" s="10"/>
    </row>
    <row r="54" spans="1:23">
      <c r="A54" s="10"/>
      <c r="B54" s="36"/>
      <c r="C54" s="36"/>
      <c r="D54" s="36"/>
      <c r="E54" s="35"/>
      <c r="G54" s="13"/>
      <c r="H54" s="14"/>
      <c r="I54" s="14"/>
      <c r="J54" s="14"/>
      <c r="L54" s="13"/>
      <c r="M54" s="14"/>
      <c r="N54" s="14"/>
      <c r="O54" s="14"/>
      <c r="P54" s="13"/>
      <c r="Q54" s="14"/>
      <c r="R54" s="14"/>
      <c r="S54" s="14"/>
      <c r="T54" s="10"/>
      <c r="U54" s="19"/>
      <c r="V54" s="10"/>
      <c r="W54" s="10"/>
    </row>
    <row r="55" spans="1:23">
      <c r="A55" s="10"/>
      <c r="B55" s="36"/>
      <c r="C55" s="36"/>
      <c r="D55" s="36"/>
      <c r="E55" s="35"/>
      <c r="G55" s="13"/>
      <c r="H55" s="14"/>
      <c r="I55" s="14"/>
      <c r="J55" s="14"/>
      <c r="L55" s="13"/>
      <c r="M55" s="14"/>
      <c r="N55" s="14"/>
      <c r="O55" s="14"/>
      <c r="P55" s="13"/>
      <c r="Q55" s="14"/>
      <c r="R55" s="14"/>
      <c r="S55" s="14"/>
      <c r="T55" s="10"/>
      <c r="U55" s="19"/>
      <c r="V55" s="10"/>
      <c r="W55" s="10"/>
    </row>
    <row r="56" spans="1:23">
      <c r="A56" s="10"/>
      <c r="B56" s="36"/>
      <c r="C56" s="36"/>
      <c r="D56" s="36"/>
      <c r="E56" s="35"/>
      <c r="G56" s="13"/>
      <c r="H56" s="14"/>
      <c r="I56" s="14"/>
      <c r="J56" s="14"/>
      <c r="L56" s="13"/>
      <c r="M56" s="14"/>
      <c r="N56" s="14"/>
      <c r="O56" s="14"/>
      <c r="P56" s="13"/>
      <c r="Q56" s="14"/>
      <c r="R56" s="14"/>
      <c r="S56" s="14"/>
      <c r="T56" s="10"/>
      <c r="U56" s="19"/>
      <c r="V56" s="10"/>
      <c r="W56" s="10"/>
    </row>
    <row r="57" spans="1:23">
      <c r="A57" s="10"/>
      <c r="B57" s="36"/>
      <c r="C57" s="36"/>
      <c r="D57" s="36"/>
      <c r="E57" s="35"/>
      <c r="G57" s="13"/>
      <c r="H57" s="14"/>
      <c r="I57" s="14"/>
      <c r="J57" s="14"/>
      <c r="L57" s="13"/>
      <c r="M57" s="14"/>
      <c r="N57" s="14"/>
      <c r="O57" s="14"/>
      <c r="P57" s="13"/>
      <c r="Q57" s="14"/>
      <c r="R57" s="14"/>
      <c r="S57" s="14"/>
      <c r="T57" s="10"/>
      <c r="U57" s="19"/>
      <c r="V57" s="10"/>
      <c r="W57" s="10"/>
    </row>
    <row r="58" spans="1:23">
      <c r="A58" s="10"/>
      <c r="B58" s="36"/>
      <c r="C58" s="36"/>
      <c r="D58" s="36"/>
      <c r="E58" s="35"/>
      <c r="G58" s="13"/>
      <c r="H58" s="14"/>
      <c r="I58" s="14"/>
      <c r="J58" s="14"/>
      <c r="L58" s="13"/>
      <c r="M58" s="14"/>
      <c r="N58" s="14"/>
      <c r="O58" s="14"/>
      <c r="P58" s="13"/>
      <c r="Q58" s="14"/>
      <c r="R58" s="14"/>
      <c r="S58" s="14"/>
      <c r="T58" s="10"/>
      <c r="U58" s="19"/>
      <c r="V58" s="10"/>
      <c r="W58" s="10"/>
    </row>
    <row r="59" spans="1:23">
      <c r="A59" s="10"/>
      <c r="B59" s="36"/>
      <c r="C59" s="36"/>
      <c r="D59" s="36"/>
      <c r="E59" s="35"/>
      <c r="G59" s="13"/>
      <c r="H59" s="14"/>
      <c r="I59" s="14"/>
      <c r="J59" s="14"/>
      <c r="L59" s="13"/>
      <c r="M59" s="14"/>
      <c r="N59" s="14"/>
      <c r="O59" s="14"/>
      <c r="P59" s="13"/>
      <c r="Q59" s="14"/>
      <c r="R59" s="14"/>
      <c r="S59" s="14"/>
      <c r="T59" s="10"/>
      <c r="U59" s="19"/>
      <c r="V59" s="10"/>
      <c r="W59" s="10"/>
    </row>
    <row r="60" spans="1:23">
      <c r="A60" s="10"/>
      <c r="B60" s="36"/>
      <c r="C60" s="36"/>
      <c r="D60" s="36"/>
      <c r="E60" s="34"/>
      <c r="G60" s="13"/>
      <c r="H60" s="14"/>
      <c r="I60" s="14"/>
      <c r="J60" s="14"/>
      <c r="L60" s="13"/>
      <c r="M60" s="14"/>
      <c r="N60" s="14"/>
      <c r="O60" s="14"/>
      <c r="P60" s="13"/>
      <c r="Q60" s="14"/>
      <c r="R60" s="14"/>
      <c r="S60" s="14"/>
      <c r="T60" s="10"/>
      <c r="U60" s="19"/>
      <c r="V60" s="10"/>
      <c r="W60" s="10"/>
    </row>
    <row r="61" spans="1:23">
      <c r="A61" s="10"/>
      <c r="B61" s="36"/>
      <c r="C61" s="36"/>
      <c r="D61" s="36"/>
      <c r="E61" s="36"/>
      <c r="G61" s="13"/>
      <c r="H61" s="14"/>
      <c r="I61" s="14"/>
      <c r="J61" s="14"/>
      <c r="L61" s="13"/>
      <c r="M61" s="14"/>
      <c r="N61" s="14"/>
      <c r="O61" s="14"/>
      <c r="P61" s="13"/>
      <c r="Q61" s="14"/>
      <c r="R61" s="14"/>
      <c r="S61" s="14"/>
      <c r="T61" s="10"/>
      <c r="U61" s="19"/>
      <c r="V61" s="10"/>
      <c r="W61" s="10"/>
    </row>
    <row r="62" spans="1:23">
      <c r="A62" s="10"/>
      <c r="B62" s="36"/>
      <c r="C62" s="36"/>
      <c r="D62" s="36"/>
      <c r="E62" s="36"/>
      <c r="G62" s="13"/>
      <c r="H62" s="14"/>
      <c r="I62" s="14"/>
      <c r="J62" s="14"/>
      <c r="L62" s="13"/>
      <c r="M62" s="14"/>
      <c r="N62" s="14"/>
      <c r="O62" s="14"/>
      <c r="P62" s="13"/>
      <c r="Q62" s="14"/>
      <c r="R62" s="14"/>
      <c r="S62" s="14"/>
      <c r="T62" s="10"/>
      <c r="U62" s="19"/>
      <c r="V62" s="10"/>
      <c r="W62" s="10"/>
    </row>
    <row r="63" spans="1:23">
      <c r="A63" s="10"/>
      <c r="B63" s="36"/>
      <c r="C63" s="36"/>
      <c r="D63" s="36"/>
      <c r="E63" s="36"/>
      <c r="G63" s="13"/>
      <c r="H63" s="14"/>
      <c r="I63" s="14"/>
      <c r="J63" s="14"/>
      <c r="L63" s="13"/>
      <c r="M63" s="14"/>
      <c r="N63" s="14"/>
      <c r="O63" s="14"/>
      <c r="P63" s="13"/>
      <c r="Q63" s="14"/>
      <c r="R63" s="14"/>
      <c r="S63" s="14"/>
    </row>
    <row r="64" spans="1:23">
      <c r="A64" s="10"/>
      <c r="B64" s="36"/>
      <c r="C64" s="36"/>
      <c r="D64" s="36"/>
      <c r="E64" s="36"/>
      <c r="G64" s="13"/>
      <c r="H64" s="14"/>
      <c r="I64" s="14"/>
      <c r="J64" s="14"/>
      <c r="L64" s="13"/>
      <c r="M64" s="14"/>
      <c r="N64" s="14"/>
      <c r="O64" s="14"/>
      <c r="P64" s="13"/>
      <c r="Q64" s="14"/>
      <c r="R64" s="14"/>
      <c r="S64" s="14"/>
    </row>
    <row r="65" spans="1:21">
      <c r="A65" s="10"/>
      <c r="B65" s="36"/>
      <c r="C65" s="36"/>
      <c r="D65" s="36"/>
      <c r="E65" s="36"/>
      <c r="G65" s="13"/>
      <c r="H65" s="14"/>
      <c r="I65" s="14"/>
      <c r="J65" s="14"/>
      <c r="L65" s="13"/>
      <c r="M65" s="14"/>
      <c r="N65" s="14"/>
      <c r="O65" s="14"/>
      <c r="P65" s="13"/>
      <c r="Q65" s="14"/>
      <c r="R65" s="14"/>
      <c r="S65" s="14"/>
    </row>
    <row r="66" spans="1:21">
      <c r="A66" s="10"/>
      <c r="B66" s="36"/>
      <c r="C66" s="36"/>
      <c r="D66" s="36"/>
      <c r="E66" s="36"/>
      <c r="G66" s="13"/>
      <c r="H66" s="14"/>
      <c r="I66" s="14"/>
      <c r="J66" s="14"/>
      <c r="L66" s="13"/>
      <c r="M66" s="14"/>
      <c r="N66" s="14"/>
      <c r="O66" s="14"/>
      <c r="P66" s="13"/>
      <c r="Q66" s="14"/>
      <c r="R66" s="14"/>
      <c r="S66" s="14"/>
    </row>
    <row r="67" spans="1:21">
      <c r="A67" s="10"/>
      <c r="B67" s="36"/>
      <c r="C67" s="36"/>
      <c r="D67" s="36"/>
      <c r="E67" s="36"/>
      <c r="G67" s="13"/>
      <c r="H67" s="14"/>
      <c r="I67" s="14"/>
      <c r="J67" s="14"/>
      <c r="L67" s="13"/>
      <c r="M67" s="14"/>
      <c r="N67" s="14"/>
      <c r="O67" s="14"/>
      <c r="P67" s="13"/>
      <c r="Q67" s="14"/>
      <c r="R67" s="14"/>
      <c r="S67" s="14"/>
    </row>
    <row r="68" spans="1:21">
      <c r="A68" s="10"/>
      <c r="B68" s="36"/>
      <c r="C68" s="36"/>
      <c r="D68" s="36"/>
      <c r="E68" s="36"/>
      <c r="G68" s="13"/>
      <c r="H68" s="14"/>
      <c r="I68" s="14"/>
      <c r="J68" s="14"/>
      <c r="L68" s="13"/>
      <c r="M68" s="14"/>
      <c r="N68" s="14"/>
      <c r="O68" s="14"/>
      <c r="P68" s="13"/>
      <c r="Q68" s="14"/>
      <c r="R68" s="14"/>
      <c r="S68" s="14"/>
    </row>
    <row r="69" spans="1:21">
      <c r="A69" s="10"/>
      <c r="B69" s="36"/>
      <c r="C69" s="36"/>
      <c r="D69" s="36"/>
      <c r="E69" s="36"/>
      <c r="G69" s="13"/>
      <c r="H69" s="14"/>
      <c r="I69" s="14"/>
      <c r="J69" s="14"/>
      <c r="L69" s="13"/>
      <c r="M69" s="14"/>
      <c r="N69" s="14"/>
      <c r="O69" s="14"/>
      <c r="P69" s="13"/>
      <c r="Q69" s="14"/>
      <c r="R69" s="14"/>
      <c r="S69" s="14"/>
    </row>
    <row r="70" spans="1:21">
      <c r="A70" s="10"/>
      <c r="B70" s="10"/>
      <c r="C70" s="10"/>
      <c r="D70" s="10"/>
      <c r="G70" s="13"/>
      <c r="H70" s="14"/>
      <c r="I70" s="14"/>
      <c r="J70" s="14"/>
      <c r="L70" s="13"/>
      <c r="M70" s="14"/>
      <c r="N70" s="14"/>
      <c r="O70" s="14"/>
      <c r="P70" s="13"/>
      <c r="Q70" s="14"/>
      <c r="R70" s="14"/>
      <c r="S70" s="14"/>
    </row>
    <row r="71" spans="1:21">
      <c r="A71" s="10"/>
      <c r="B71" s="10"/>
      <c r="C71" s="10"/>
      <c r="D71" s="10"/>
      <c r="G71" s="13"/>
      <c r="H71" s="14"/>
      <c r="I71" s="14"/>
      <c r="J71" s="14"/>
      <c r="L71" s="13"/>
      <c r="M71" s="14"/>
      <c r="N71" s="14"/>
      <c r="O71" s="14"/>
      <c r="P71" s="13"/>
      <c r="Q71" s="14"/>
      <c r="R71" s="14"/>
      <c r="S71" s="14"/>
    </row>
    <row r="72" spans="1:21">
      <c r="A72" s="10"/>
      <c r="B72" s="10"/>
      <c r="C72" s="10"/>
      <c r="D72" s="10"/>
      <c r="G72" s="13"/>
      <c r="H72" s="14"/>
      <c r="I72" s="14"/>
      <c r="J72" s="14"/>
      <c r="L72" s="13"/>
      <c r="M72" s="14"/>
      <c r="N72" s="14"/>
      <c r="O72" s="14"/>
      <c r="P72" s="13"/>
      <c r="Q72" s="14"/>
      <c r="R72" s="14"/>
      <c r="S72" s="14"/>
    </row>
    <row r="73" spans="1:21">
      <c r="A73" s="10"/>
      <c r="B73" s="10"/>
      <c r="C73" s="10"/>
      <c r="D73" s="10"/>
      <c r="G73" s="13"/>
      <c r="H73" s="14"/>
      <c r="I73" s="14"/>
      <c r="J73" s="14"/>
      <c r="L73" s="13"/>
      <c r="M73" s="14"/>
      <c r="N73" s="14"/>
      <c r="O73" s="14"/>
      <c r="P73" s="13"/>
      <c r="Q73" s="14"/>
      <c r="R73" s="14"/>
      <c r="S73" s="14"/>
    </row>
    <row r="74" spans="1:21">
      <c r="A74" s="10"/>
      <c r="B74" s="10"/>
      <c r="C74" s="10"/>
      <c r="D74" s="10"/>
      <c r="G74" s="13"/>
      <c r="H74" s="14"/>
      <c r="I74" s="14"/>
      <c r="J74" s="14"/>
      <c r="L74" s="13"/>
      <c r="M74" s="14"/>
      <c r="N74" s="14"/>
      <c r="O74" s="14"/>
      <c r="P74" s="13"/>
      <c r="Q74" s="14"/>
      <c r="R74" s="14"/>
      <c r="S74" s="14"/>
    </row>
    <row r="75" spans="1:21">
      <c r="A75" s="10"/>
      <c r="B75" s="10"/>
      <c r="C75" s="10"/>
      <c r="D75" s="10"/>
      <c r="G75" s="13"/>
      <c r="H75" s="14"/>
      <c r="I75" s="14"/>
      <c r="J75" s="14"/>
      <c r="L75" s="13"/>
      <c r="M75" s="14"/>
      <c r="N75" s="14"/>
      <c r="O75" s="14"/>
      <c r="P75" s="13"/>
      <c r="Q75" s="14"/>
      <c r="R75" s="14"/>
      <c r="S75" s="14"/>
    </row>
    <row r="76" spans="1:21">
      <c r="A76" s="10"/>
      <c r="B76" s="10"/>
      <c r="C76" s="10"/>
      <c r="D76" s="10"/>
      <c r="G76" s="13"/>
      <c r="H76" s="14"/>
      <c r="I76" s="14"/>
      <c r="J76" s="14"/>
      <c r="L76" s="13"/>
      <c r="M76" s="14"/>
      <c r="N76" s="14"/>
      <c r="O76" s="14"/>
      <c r="P76" s="13"/>
      <c r="Q76" s="14"/>
      <c r="R76" s="14"/>
      <c r="S76" s="14"/>
    </row>
    <row r="77" spans="1:21">
      <c r="A77" s="10"/>
      <c r="B77" s="10"/>
      <c r="C77" s="10"/>
      <c r="D77" s="10"/>
      <c r="G77" s="13"/>
      <c r="H77" s="13"/>
      <c r="I77" s="13"/>
      <c r="J77" s="13"/>
      <c r="L77" s="13"/>
      <c r="M77" s="13"/>
      <c r="N77" s="13"/>
      <c r="O77" s="13"/>
      <c r="P77" s="13"/>
      <c r="Q77" s="13"/>
      <c r="R77" s="13"/>
      <c r="S77" s="13"/>
    </row>
    <row r="78" spans="1:21"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12"/>
      <c r="R78" s="12"/>
      <c r="S78" s="12"/>
      <c r="T78" s="12"/>
      <c r="U78" s="12"/>
    </row>
    <row r="79" spans="1:21"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3"/>
      <c r="R79" s="14"/>
      <c r="S79" s="14"/>
      <c r="T79" s="14"/>
      <c r="U79" s="14"/>
    </row>
    <row r="80" spans="1:21"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3"/>
      <c r="R80" s="14"/>
      <c r="S80" s="14"/>
      <c r="T80" s="14"/>
      <c r="U80" s="14"/>
    </row>
    <row r="81" spans="5:21"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3"/>
      <c r="R81" s="14"/>
      <c r="S81" s="14"/>
      <c r="T81" s="14"/>
      <c r="U81" s="14"/>
    </row>
    <row r="82" spans="5:21"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3"/>
      <c r="R82" s="14"/>
      <c r="S82" s="14"/>
      <c r="T82" s="14"/>
      <c r="U82" s="14"/>
    </row>
    <row r="83" spans="5:21"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3"/>
      <c r="R83" s="14"/>
      <c r="S83" s="14"/>
      <c r="T83" s="14"/>
      <c r="U83" s="14"/>
    </row>
    <row r="84" spans="5:21"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3"/>
      <c r="R84" s="14"/>
      <c r="S84" s="14"/>
      <c r="T84" s="14"/>
      <c r="U84" s="14"/>
    </row>
    <row r="85" spans="5:21"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3"/>
      <c r="R85" s="14"/>
      <c r="S85" s="14"/>
      <c r="T85" s="14"/>
      <c r="U85" s="14"/>
    </row>
    <row r="86" spans="5:21"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3"/>
      <c r="R86" s="14"/>
      <c r="S86" s="14"/>
      <c r="T86" s="14"/>
      <c r="U86" s="14"/>
    </row>
    <row r="87" spans="5:21"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3"/>
      <c r="R87" s="14"/>
      <c r="S87" s="14"/>
      <c r="T87" s="14"/>
      <c r="U87" s="14"/>
    </row>
    <row r="88" spans="5:21"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3"/>
      <c r="R88" s="14"/>
      <c r="S88" s="14"/>
      <c r="T88" s="14"/>
      <c r="U88" s="14"/>
    </row>
    <row r="89" spans="5:21"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3"/>
      <c r="R89" s="14"/>
      <c r="S89" s="14"/>
      <c r="T89" s="14"/>
      <c r="U89" s="14"/>
    </row>
    <row r="90" spans="5:21"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3"/>
      <c r="R90" s="14"/>
      <c r="S90" s="14"/>
      <c r="T90" s="14"/>
      <c r="U90" s="14"/>
    </row>
    <row r="91" spans="5:21"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3"/>
      <c r="R91" s="14"/>
      <c r="S91" s="14"/>
      <c r="T91" s="14"/>
      <c r="U91" s="14"/>
    </row>
    <row r="92" spans="5:21"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3"/>
      <c r="R92" s="14"/>
      <c r="S92" s="14"/>
      <c r="T92" s="14"/>
      <c r="U92" s="14"/>
    </row>
    <row r="93" spans="5:21"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3"/>
      <c r="R93" s="14"/>
      <c r="S93" s="14"/>
      <c r="T93" s="14"/>
      <c r="U93" s="14"/>
    </row>
    <row r="94" spans="5:21"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3"/>
      <c r="R94" s="14"/>
      <c r="S94" s="14"/>
      <c r="T94" s="14"/>
      <c r="U94" s="14"/>
    </row>
    <row r="95" spans="5:21"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3"/>
      <c r="R95" s="14"/>
      <c r="S95" s="14"/>
      <c r="T95" s="14"/>
      <c r="U95" s="14"/>
    </row>
    <row r="96" spans="5:21"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3"/>
      <c r="R96" s="14"/>
      <c r="S96" s="14"/>
      <c r="T96" s="14"/>
      <c r="U96" s="14"/>
    </row>
    <row r="97" spans="5:21"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3"/>
      <c r="R97" s="14"/>
      <c r="S97" s="14"/>
      <c r="T97" s="14"/>
      <c r="U97" s="14"/>
    </row>
    <row r="98" spans="5:21"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3"/>
      <c r="R98" s="14"/>
      <c r="S98" s="14"/>
      <c r="T98" s="14"/>
      <c r="U98" s="14"/>
    </row>
    <row r="99" spans="5:21"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3"/>
      <c r="R99" s="14"/>
      <c r="S99" s="14"/>
      <c r="T99" s="14"/>
      <c r="U99" s="14"/>
    </row>
    <row r="100" spans="5:21"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3"/>
      <c r="R100" s="14"/>
      <c r="S100" s="14"/>
      <c r="T100" s="14"/>
      <c r="U100" s="14"/>
    </row>
    <row r="101" spans="5:21"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3"/>
      <c r="R101" s="14"/>
      <c r="S101" s="14"/>
      <c r="T101" s="14"/>
      <c r="U101" s="14"/>
    </row>
    <row r="102" spans="5:21"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3"/>
      <c r="R102" s="14"/>
      <c r="S102" s="14"/>
      <c r="T102" s="14"/>
      <c r="U102" s="14"/>
    </row>
    <row r="103" spans="5:21"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3"/>
      <c r="R103" s="14"/>
      <c r="S103" s="14"/>
      <c r="T103" s="14"/>
      <c r="U103" s="14"/>
    </row>
    <row r="104" spans="5:21">
      <c r="Q104" s="13"/>
      <c r="R104" s="13"/>
      <c r="S104" s="13"/>
      <c r="T104" s="13"/>
      <c r="U104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"/>
  <sheetViews>
    <sheetView topLeftCell="E8" zoomScale="110" workbookViewId="0">
      <selection activeCell="U2" sqref="U2:U26"/>
    </sheetView>
  </sheetViews>
  <sheetFormatPr defaultRowHeight="14.4"/>
  <cols>
    <col min="1" max="1" width="18" customWidth="1"/>
    <col min="2" max="4" width="9" bestFit="1" customWidth="1"/>
    <col min="16" max="18" width="9" bestFit="1" customWidth="1"/>
    <col min="19" max="19" width="8" bestFit="1" customWidth="1"/>
    <col min="40" max="40" width="8.88671875" customWidth="1"/>
  </cols>
  <sheetData>
    <row r="1" spans="1:21" s="6" customFormat="1">
      <c r="A1" s="5" t="s">
        <v>0</v>
      </c>
      <c r="B1" s="5">
        <v>2005</v>
      </c>
      <c r="C1" s="5">
        <v>2006</v>
      </c>
      <c r="D1" s="5">
        <v>2007</v>
      </c>
      <c r="E1" s="5">
        <v>2008</v>
      </c>
      <c r="F1" s="5">
        <v>2009</v>
      </c>
      <c r="G1" s="5">
        <v>2010</v>
      </c>
      <c r="H1" s="5">
        <v>2011</v>
      </c>
      <c r="I1" s="5">
        <v>2012</v>
      </c>
      <c r="J1" s="5">
        <v>2013</v>
      </c>
      <c r="K1" s="5">
        <v>2014</v>
      </c>
      <c r="L1" s="5">
        <v>2015</v>
      </c>
      <c r="M1" s="5">
        <v>2016</v>
      </c>
      <c r="N1" s="5">
        <v>2017</v>
      </c>
      <c r="O1" s="5">
        <v>2018</v>
      </c>
      <c r="P1" s="5">
        <v>2019</v>
      </c>
      <c r="Q1" s="5">
        <v>2020</v>
      </c>
      <c r="R1" s="5">
        <v>2021</v>
      </c>
      <c r="S1" s="22">
        <v>2022</v>
      </c>
      <c r="T1" s="22">
        <v>2023</v>
      </c>
      <c r="U1" s="6">
        <v>2024</v>
      </c>
    </row>
    <row r="2" spans="1:21" ht="15.6">
      <c r="A2" s="7" t="s">
        <v>1</v>
      </c>
      <c r="B2" s="11">
        <v>1438.7</v>
      </c>
      <c r="C2" s="11">
        <v>1528.7</v>
      </c>
      <c r="D2" s="11">
        <v>2432.1</v>
      </c>
      <c r="E2" s="4">
        <v>2804</v>
      </c>
      <c r="F2" s="4">
        <v>2819.6</v>
      </c>
      <c r="G2" s="4">
        <v>2774.8</v>
      </c>
      <c r="H2" s="4">
        <v>2899.6</v>
      </c>
      <c r="I2" s="4">
        <v>3242.8</v>
      </c>
      <c r="J2" s="3">
        <v>3166.9</v>
      </c>
      <c r="K2" s="1">
        <v>2949.03</v>
      </c>
      <c r="L2" s="8">
        <v>3570.62</v>
      </c>
      <c r="M2" s="8">
        <v>4143.55</v>
      </c>
      <c r="N2" s="4">
        <v>5000.07</v>
      </c>
      <c r="O2" s="4">
        <v>5601.31</v>
      </c>
      <c r="P2" s="4">
        <v>5861.7</v>
      </c>
      <c r="Q2" s="4">
        <v>5834.7</v>
      </c>
      <c r="R2" s="8">
        <v>5684.47</v>
      </c>
      <c r="S2" s="11">
        <v>6116.94</v>
      </c>
      <c r="T2" s="11">
        <v>5830.93</v>
      </c>
      <c r="U2" s="11">
        <v>6734.44</v>
      </c>
    </row>
    <row r="3" spans="1:21" ht="15.6">
      <c r="A3" s="7" t="s">
        <v>2</v>
      </c>
      <c r="B3" s="11">
        <v>10</v>
      </c>
      <c r="C3" s="11">
        <v>12.6</v>
      </c>
      <c r="D3" s="11">
        <v>13.6</v>
      </c>
      <c r="E3" s="4">
        <v>15.46</v>
      </c>
      <c r="F3" s="4">
        <v>16.37</v>
      </c>
      <c r="G3" s="4">
        <v>16.46</v>
      </c>
      <c r="H3" s="4">
        <v>17.28</v>
      </c>
      <c r="I3" s="4">
        <v>18.190000000000001</v>
      </c>
      <c r="J3" s="3">
        <v>19.100000000000001</v>
      </c>
      <c r="K3" s="2">
        <v>20</v>
      </c>
      <c r="L3" s="8">
        <v>31.64</v>
      </c>
      <c r="M3" s="8">
        <v>31.96</v>
      </c>
      <c r="N3" s="4">
        <v>14.08</v>
      </c>
      <c r="O3" s="4">
        <v>14.03</v>
      </c>
      <c r="P3" s="4">
        <v>14.03</v>
      </c>
      <c r="Q3" s="4">
        <v>14.03</v>
      </c>
      <c r="R3" s="8">
        <v>16.29</v>
      </c>
      <c r="S3" s="11">
        <v>16.29</v>
      </c>
      <c r="T3" s="11">
        <v>14.49</v>
      </c>
      <c r="U3" s="11">
        <v>14.49</v>
      </c>
    </row>
    <row r="4" spans="1:21" ht="15.6">
      <c r="A4" s="7" t="s">
        <v>3</v>
      </c>
      <c r="B4" s="11">
        <v>610</v>
      </c>
      <c r="C4" s="11">
        <v>699.4</v>
      </c>
      <c r="D4" s="11">
        <v>627.79999999999995</v>
      </c>
      <c r="E4" s="4">
        <v>852.6</v>
      </c>
      <c r="F4" s="4">
        <v>805.2</v>
      </c>
      <c r="G4" s="4">
        <v>723.6</v>
      </c>
      <c r="H4" s="4">
        <v>745.3</v>
      </c>
      <c r="I4" s="4">
        <v>837.02</v>
      </c>
      <c r="J4" s="3">
        <v>857.72</v>
      </c>
      <c r="K4" s="2">
        <v>907.11</v>
      </c>
      <c r="L4" s="8">
        <v>882.71</v>
      </c>
      <c r="M4" s="8">
        <v>979.34</v>
      </c>
      <c r="N4" s="4">
        <v>913.27</v>
      </c>
      <c r="O4" s="4">
        <v>917.79</v>
      </c>
      <c r="P4" s="4">
        <v>906.68</v>
      </c>
      <c r="Q4" s="4">
        <v>909.83</v>
      </c>
      <c r="R4" s="8">
        <v>1108</v>
      </c>
      <c r="S4" s="11">
        <v>1115.45</v>
      </c>
      <c r="T4" s="11">
        <v>1022.51</v>
      </c>
      <c r="U4" s="11">
        <v>1022.51</v>
      </c>
    </row>
    <row r="5" spans="1:21" ht="15.6">
      <c r="A5" s="7" t="s">
        <v>4</v>
      </c>
      <c r="B5" s="11">
        <v>920</v>
      </c>
      <c r="C5" s="11">
        <v>959.3</v>
      </c>
      <c r="D5" s="11">
        <v>1276.8</v>
      </c>
      <c r="E5" s="4">
        <v>1373.6</v>
      </c>
      <c r="F5" s="4">
        <v>1435.3</v>
      </c>
      <c r="G5" s="4">
        <v>1517.1</v>
      </c>
      <c r="H5" s="4">
        <v>1580</v>
      </c>
      <c r="I5" s="4">
        <v>1702.41</v>
      </c>
      <c r="J5" s="3">
        <v>1435.78</v>
      </c>
      <c r="K5" s="2">
        <v>1526.5</v>
      </c>
      <c r="L5" s="8">
        <v>1535.3</v>
      </c>
      <c r="M5" s="8">
        <v>1550.65</v>
      </c>
      <c r="N5" s="4">
        <v>1396.39</v>
      </c>
      <c r="O5" s="4">
        <v>1591.58</v>
      </c>
      <c r="P5" s="4">
        <v>1370.55</v>
      </c>
      <c r="Q5" s="4">
        <v>1612.56</v>
      </c>
      <c r="R5" s="8">
        <v>1968.21</v>
      </c>
      <c r="S5" s="11">
        <v>2004.27</v>
      </c>
      <c r="T5" s="11">
        <v>1919.98</v>
      </c>
      <c r="U5" s="11">
        <v>1920.96</v>
      </c>
    </row>
    <row r="6" spans="1:21" ht="15.6">
      <c r="A6" s="7" t="s">
        <v>5</v>
      </c>
      <c r="B6" s="11">
        <v>210</v>
      </c>
      <c r="C6" s="11">
        <v>235.4</v>
      </c>
      <c r="D6" s="11">
        <v>310.10000000000002</v>
      </c>
      <c r="E6" s="4">
        <v>351.39</v>
      </c>
      <c r="F6" s="4">
        <v>372.06</v>
      </c>
      <c r="G6" s="4">
        <v>380.6</v>
      </c>
      <c r="H6" s="4">
        <v>392.73</v>
      </c>
      <c r="I6" s="4">
        <v>413.4</v>
      </c>
      <c r="J6" s="3">
        <v>498.81</v>
      </c>
      <c r="K6" s="2">
        <v>532.64</v>
      </c>
      <c r="L6" s="8">
        <v>587.41999999999996</v>
      </c>
      <c r="M6" s="8">
        <v>618.91999999999996</v>
      </c>
      <c r="N6" s="4">
        <v>745.78</v>
      </c>
      <c r="O6" s="4">
        <v>615.03</v>
      </c>
      <c r="P6" s="4">
        <v>602.72</v>
      </c>
      <c r="Q6" s="4">
        <v>585.71</v>
      </c>
      <c r="R6" s="8">
        <v>587.15</v>
      </c>
      <c r="S6" s="11">
        <v>590.15</v>
      </c>
      <c r="T6" s="11">
        <v>576.47</v>
      </c>
      <c r="U6" s="11">
        <v>576.47</v>
      </c>
    </row>
    <row r="7" spans="1:21" ht="15.6">
      <c r="A7" s="7" t="s">
        <v>25</v>
      </c>
      <c r="B7" s="11">
        <v>1979</v>
      </c>
      <c r="C7" s="11">
        <v>2498.8000000000002</v>
      </c>
      <c r="D7" s="11">
        <v>3392.6</v>
      </c>
      <c r="E7" s="4">
        <v>3571.6</v>
      </c>
      <c r="F7" s="4">
        <v>3779.8</v>
      </c>
      <c r="G7" s="4">
        <v>3978</v>
      </c>
      <c r="H7" s="4">
        <v>4047.8</v>
      </c>
      <c r="I7" s="4">
        <v>4523.49</v>
      </c>
      <c r="J7" s="3">
        <v>4225.49</v>
      </c>
      <c r="K7" s="2">
        <v>4225.49</v>
      </c>
      <c r="L7" s="8">
        <v>4185.5200000000004</v>
      </c>
      <c r="M7" s="8">
        <v>4185.5200000000004</v>
      </c>
      <c r="N7" s="4">
        <v>4472.32</v>
      </c>
      <c r="O7" s="4">
        <v>4610.6099999999997</v>
      </c>
      <c r="P7" s="4">
        <v>4627.5200000000004</v>
      </c>
      <c r="Q7" s="4">
        <v>3907.21</v>
      </c>
      <c r="R7" s="8">
        <v>3971.56</v>
      </c>
      <c r="S7" s="11">
        <v>3994.55</v>
      </c>
      <c r="T7" s="11">
        <v>4010.72</v>
      </c>
      <c r="U7" s="11">
        <v>4025.28</v>
      </c>
    </row>
    <row r="8" spans="1:21" ht="15.6">
      <c r="A8" s="7" t="s">
        <v>6</v>
      </c>
      <c r="B8" s="11">
        <v>0.12</v>
      </c>
      <c r="C8" s="11">
        <v>0.12</v>
      </c>
      <c r="D8" s="11">
        <v>0.28999999999999998</v>
      </c>
      <c r="E8" s="4">
        <v>0.33</v>
      </c>
      <c r="F8" s="4">
        <v>0.35</v>
      </c>
      <c r="G8" s="4">
        <v>0.35</v>
      </c>
      <c r="H8" s="4">
        <v>0.37</v>
      </c>
      <c r="I8" s="4">
        <v>0.39</v>
      </c>
      <c r="J8" s="3">
        <v>0.28999999999999998</v>
      </c>
      <c r="K8" s="2">
        <v>0.42</v>
      </c>
      <c r="L8" s="8">
        <v>0.42</v>
      </c>
      <c r="M8" s="8">
        <v>0.35</v>
      </c>
      <c r="N8" s="4">
        <v>0.35</v>
      </c>
      <c r="O8" s="4">
        <v>0.25</v>
      </c>
      <c r="P8" s="4">
        <v>0.18</v>
      </c>
      <c r="Q8" s="4">
        <v>0.12</v>
      </c>
      <c r="R8" s="8">
        <v>0.1</v>
      </c>
      <c r="S8" s="11">
        <v>0.1</v>
      </c>
      <c r="T8" s="11">
        <v>0.11</v>
      </c>
      <c r="U8" s="11">
        <v>0.21</v>
      </c>
    </row>
    <row r="9" spans="1:21" ht="15.6">
      <c r="A9" s="7" t="s">
        <v>7</v>
      </c>
      <c r="B9" s="11">
        <v>0.53</v>
      </c>
      <c r="C9" s="11">
        <v>0.66</v>
      </c>
      <c r="D9" s="11">
        <v>0.95</v>
      </c>
      <c r="E9" s="4">
        <v>1.07</v>
      </c>
      <c r="F9" s="4">
        <v>1.1299999999999999</v>
      </c>
      <c r="G9" s="4">
        <v>1.19</v>
      </c>
      <c r="H9" s="4">
        <v>1.2</v>
      </c>
      <c r="I9" s="4">
        <v>1.26</v>
      </c>
      <c r="J9" s="3">
        <v>1.29</v>
      </c>
      <c r="K9" s="2">
        <v>1.3</v>
      </c>
      <c r="L9" s="8">
        <v>33.28</v>
      </c>
      <c r="M9" s="8">
        <v>31.47</v>
      </c>
      <c r="N9" s="4">
        <v>32.06</v>
      </c>
      <c r="O9" s="4">
        <v>32.75</v>
      </c>
      <c r="P9" s="4">
        <v>31.11</v>
      </c>
      <c r="Q9" s="4">
        <v>32.869999999999997</v>
      </c>
      <c r="R9" s="8">
        <v>33.07</v>
      </c>
      <c r="S9" s="11">
        <v>41.02</v>
      </c>
      <c r="T9" s="11">
        <v>42.08</v>
      </c>
      <c r="U9" s="11">
        <v>42.38</v>
      </c>
    </row>
    <row r="10" spans="1:21" ht="15.6">
      <c r="A10" s="7" t="s">
        <v>8</v>
      </c>
      <c r="B10" s="11">
        <v>1345</v>
      </c>
      <c r="C10" s="11">
        <v>1399.1</v>
      </c>
      <c r="D10" s="11">
        <v>1897.2</v>
      </c>
      <c r="E10" s="4">
        <v>1918.8</v>
      </c>
      <c r="F10" s="4">
        <v>2132.3000000000002</v>
      </c>
      <c r="G10" s="4">
        <v>2281.6</v>
      </c>
      <c r="H10" s="4">
        <v>2351.5</v>
      </c>
      <c r="I10" s="4">
        <v>2529.6</v>
      </c>
      <c r="J10" s="3">
        <v>2675.63</v>
      </c>
      <c r="K10" s="2">
        <v>2710.84</v>
      </c>
      <c r="L10" s="8">
        <v>2370.9499999999998</v>
      </c>
      <c r="M10" s="8">
        <v>2489.5</v>
      </c>
      <c r="N10" s="4">
        <v>2328.9</v>
      </c>
      <c r="O10" s="4">
        <v>2146.7199999999998</v>
      </c>
      <c r="P10" s="4">
        <v>2613.81</v>
      </c>
      <c r="Q10" s="4">
        <v>3367.67</v>
      </c>
      <c r="R10" s="8">
        <v>3430.22</v>
      </c>
      <c r="S10" s="11">
        <v>2973.3</v>
      </c>
      <c r="T10" s="11">
        <v>3121.97</v>
      </c>
      <c r="U10" s="11">
        <v>1248.8900000000001</v>
      </c>
    </row>
    <row r="11" spans="1:21" ht="15.6">
      <c r="A11" s="7" t="s">
        <v>9</v>
      </c>
      <c r="B11" s="11">
        <v>420</v>
      </c>
      <c r="C11" s="11">
        <v>443.1</v>
      </c>
      <c r="D11" s="11">
        <v>386.7</v>
      </c>
      <c r="E11" s="4">
        <v>472.9</v>
      </c>
      <c r="F11" s="4">
        <v>406.2</v>
      </c>
      <c r="G11" s="4">
        <f>(F11+H11)/2</f>
        <v>448.01499999999999</v>
      </c>
      <c r="H11" s="4">
        <v>489.83</v>
      </c>
      <c r="I11" s="4">
        <v>515.61</v>
      </c>
      <c r="J11" s="3">
        <v>528.21</v>
      </c>
      <c r="K11" s="2">
        <v>1160.25</v>
      </c>
      <c r="L11" s="8">
        <v>1292.4100000000001</v>
      </c>
      <c r="M11" s="8">
        <v>1224.1300000000001</v>
      </c>
      <c r="N11" s="4">
        <v>1119.1600000000001</v>
      </c>
      <c r="O11" s="4">
        <v>807.15</v>
      </c>
      <c r="P11" s="4">
        <v>955.33</v>
      </c>
      <c r="Q11" s="4">
        <v>957.05</v>
      </c>
      <c r="R11" s="8">
        <v>871.26</v>
      </c>
      <c r="S11" s="11">
        <v>878.14</v>
      </c>
      <c r="T11" s="11">
        <v>477.52</v>
      </c>
      <c r="U11" s="11">
        <v>485.2</v>
      </c>
    </row>
    <row r="12" spans="1:21" ht="15.6">
      <c r="A12" s="7" t="s">
        <v>10</v>
      </c>
      <c r="B12" s="11">
        <v>750</v>
      </c>
      <c r="C12" s="11">
        <v>615.6</v>
      </c>
      <c r="D12" s="11">
        <v>1275.8</v>
      </c>
      <c r="E12" s="4">
        <v>1498</v>
      </c>
      <c r="F12" s="4">
        <v>1459.8</v>
      </c>
      <c r="G12" s="4">
        <v>1719.6</v>
      </c>
      <c r="H12" s="4">
        <v>1379.2</v>
      </c>
      <c r="I12" s="4">
        <v>1701</v>
      </c>
      <c r="J12" s="3">
        <v>1735</v>
      </c>
      <c r="K12" s="2">
        <v>1813</v>
      </c>
      <c r="L12" s="8">
        <v>1758.05</v>
      </c>
      <c r="M12" s="8">
        <v>1646.89</v>
      </c>
      <c r="N12" s="4">
        <v>1834.03</v>
      </c>
      <c r="O12" s="4">
        <v>1853.03</v>
      </c>
      <c r="P12" s="4">
        <v>1847.64</v>
      </c>
      <c r="Q12" s="4">
        <v>2025.46</v>
      </c>
      <c r="R12" s="8">
        <v>2219.2800000000002</v>
      </c>
      <c r="S12" s="11">
        <v>2060.1999999999998</v>
      </c>
      <c r="T12" s="11">
        <v>2453.83</v>
      </c>
      <c r="U12" s="11">
        <v>2463.36</v>
      </c>
    </row>
    <row r="13" spans="1:21" ht="15.6">
      <c r="A13" s="7" t="s">
        <v>11</v>
      </c>
      <c r="B13" s="11">
        <v>4535</v>
      </c>
      <c r="C13" s="11">
        <v>4608.5</v>
      </c>
      <c r="D13" s="11">
        <v>2700</v>
      </c>
      <c r="E13" s="4">
        <v>4960</v>
      </c>
      <c r="F13" s="4">
        <f>(E13+G13)/2</f>
        <v>4631.5</v>
      </c>
      <c r="G13" s="4">
        <v>4303</v>
      </c>
      <c r="H13" s="4">
        <v>4315</v>
      </c>
      <c r="I13" s="4">
        <v>3600</v>
      </c>
      <c r="J13" s="3">
        <v>4830.6000000000004</v>
      </c>
      <c r="K13" s="2">
        <v>3557.97</v>
      </c>
      <c r="L13" s="8">
        <v>3025.15</v>
      </c>
      <c r="M13" s="8">
        <v>3072.49</v>
      </c>
      <c r="N13" s="4">
        <v>4209.2700000000004</v>
      </c>
      <c r="O13" s="4">
        <v>3562.4</v>
      </c>
      <c r="P13" s="4">
        <v>4153.6499999999996</v>
      </c>
      <c r="Q13" s="4">
        <v>4223.05</v>
      </c>
      <c r="R13" s="8">
        <v>4910.93</v>
      </c>
      <c r="S13" s="11">
        <v>5626.26</v>
      </c>
      <c r="T13" s="11">
        <v>6534.35</v>
      </c>
      <c r="U13" s="11">
        <v>7229.86</v>
      </c>
    </row>
    <row r="14" spans="1:21" ht="15.6">
      <c r="A14" s="7" t="s">
        <v>12</v>
      </c>
      <c r="B14" s="11">
        <v>35</v>
      </c>
      <c r="C14" s="11">
        <v>37.5</v>
      </c>
      <c r="D14" s="11">
        <v>66.099999999999994</v>
      </c>
      <c r="E14" s="4">
        <v>74.95</v>
      </c>
      <c r="F14" s="4">
        <v>79.36</v>
      </c>
      <c r="G14" s="4">
        <f>(F14+H14)/2</f>
        <v>81.564999999999998</v>
      </c>
      <c r="H14" s="4">
        <v>83.77</v>
      </c>
      <c r="I14" s="4">
        <v>88.18</v>
      </c>
      <c r="J14" s="3">
        <v>90.45</v>
      </c>
      <c r="K14" s="2">
        <v>96.36</v>
      </c>
      <c r="L14" s="8">
        <v>93.95</v>
      </c>
      <c r="M14" s="8">
        <v>89.86</v>
      </c>
      <c r="N14" s="4">
        <v>93.48</v>
      </c>
      <c r="O14" s="4">
        <v>91.38</v>
      </c>
      <c r="P14" s="4">
        <v>91.8</v>
      </c>
      <c r="Q14" s="4">
        <v>88.5</v>
      </c>
      <c r="R14" s="8">
        <v>86.49</v>
      </c>
      <c r="S14" s="11">
        <v>86.49</v>
      </c>
      <c r="T14" s="11">
        <v>124.4</v>
      </c>
      <c r="U14" s="11">
        <v>81.41</v>
      </c>
    </row>
    <row r="15" spans="1:21" ht="15.6">
      <c r="A15" s="7" t="s">
        <v>13</v>
      </c>
      <c r="B15" s="11">
        <v>75</v>
      </c>
      <c r="C15" s="11">
        <v>82.4</v>
      </c>
      <c r="D15" s="11">
        <v>63</v>
      </c>
      <c r="E15" s="4">
        <v>71.39</v>
      </c>
      <c r="F15" s="4">
        <v>75.59</v>
      </c>
      <c r="G15" s="4">
        <f>(F15+H15)/2</f>
        <v>77.69</v>
      </c>
      <c r="H15" s="4">
        <v>79.790000000000006</v>
      </c>
      <c r="I15" s="4">
        <v>83.99</v>
      </c>
      <c r="J15" s="3">
        <v>86.43</v>
      </c>
      <c r="K15" s="2">
        <v>88.7</v>
      </c>
      <c r="L15" s="8">
        <v>88.71</v>
      </c>
      <c r="M15" s="8">
        <v>94.32</v>
      </c>
      <c r="N15" s="4">
        <v>96.9</v>
      </c>
      <c r="O15" s="4">
        <v>94.72</v>
      </c>
      <c r="P15" s="4">
        <v>94.8</v>
      </c>
      <c r="Q15" s="4">
        <v>95.01</v>
      </c>
      <c r="R15" s="8">
        <v>95.85</v>
      </c>
      <c r="S15" s="11">
        <v>100.48</v>
      </c>
      <c r="T15" s="11">
        <v>102.7</v>
      </c>
      <c r="U15" s="11">
        <v>102.88</v>
      </c>
    </row>
    <row r="16" spans="1:21" ht="15.6">
      <c r="A16" s="7" t="s">
        <v>14</v>
      </c>
      <c r="B16" s="11">
        <v>200</v>
      </c>
      <c r="C16" s="11">
        <v>215.3</v>
      </c>
      <c r="D16" s="11">
        <v>95.6</v>
      </c>
      <c r="E16" s="4">
        <v>108.4</v>
      </c>
      <c r="F16" s="4">
        <v>114.78</v>
      </c>
      <c r="G16" s="4">
        <f>(F16+H16)/2</f>
        <v>117.965</v>
      </c>
      <c r="H16" s="4">
        <v>121.15</v>
      </c>
      <c r="I16" s="4">
        <v>127.53</v>
      </c>
      <c r="J16" s="3">
        <v>140.91999999999999</v>
      </c>
      <c r="K16" s="2">
        <v>146.09</v>
      </c>
      <c r="L16" s="8">
        <v>141.03</v>
      </c>
      <c r="M16" s="8">
        <v>141.04</v>
      </c>
      <c r="N16" s="4">
        <v>143.84</v>
      </c>
      <c r="O16" s="4">
        <v>143.84</v>
      </c>
      <c r="P16" s="4">
        <v>140.5</v>
      </c>
      <c r="Q16" s="4">
        <v>140.5</v>
      </c>
      <c r="R16" s="8">
        <v>140.5</v>
      </c>
      <c r="S16" s="11">
        <v>140.5</v>
      </c>
      <c r="T16" s="11">
        <v>140.5</v>
      </c>
      <c r="U16" s="11">
        <v>140.5</v>
      </c>
    </row>
    <row r="17" spans="1:21" ht="15.6">
      <c r="A17" s="7" t="s">
        <v>15</v>
      </c>
      <c r="B17" s="11">
        <v>60</v>
      </c>
      <c r="C17" s="11">
        <v>67.2</v>
      </c>
      <c r="D17" s="11">
        <v>60</v>
      </c>
      <c r="E17" s="4">
        <v>68</v>
      </c>
      <c r="F17" s="4">
        <v>72</v>
      </c>
      <c r="G17" s="4">
        <f>(F17+H17)/2</f>
        <v>74</v>
      </c>
      <c r="H17" s="4">
        <v>76</v>
      </c>
      <c r="I17" s="4">
        <v>80</v>
      </c>
      <c r="J17" s="3">
        <v>109.8</v>
      </c>
      <c r="K17" s="2">
        <v>109.8</v>
      </c>
      <c r="L17" s="8">
        <v>108.51</v>
      </c>
      <c r="M17" s="8">
        <v>116.72</v>
      </c>
      <c r="N17" s="4">
        <v>117.04</v>
      </c>
      <c r="O17" s="4">
        <v>86.96</v>
      </c>
      <c r="P17" s="4">
        <v>87.36</v>
      </c>
      <c r="Q17" s="4">
        <v>87.28</v>
      </c>
      <c r="R17" s="8">
        <v>86.62</v>
      </c>
      <c r="S17" s="11">
        <v>94.78</v>
      </c>
      <c r="T17" s="11">
        <v>94.97</v>
      </c>
      <c r="U17" s="11">
        <v>95.27</v>
      </c>
    </row>
    <row r="18" spans="1:21" ht="15.6">
      <c r="A18" s="7" t="s">
        <v>16</v>
      </c>
      <c r="B18" s="11">
        <v>280</v>
      </c>
      <c r="C18" s="11">
        <v>301.60000000000002</v>
      </c>
      <c r="D18" s="11">
        <v>390.9</v>
      </c>
      <c r="E18" s="4">
        <v>443.11</v>
      </c>
      <c r="F18" s="4">
        <v>469.18</v>
      </c>
      <c r="G18" s="4">
        <v>488.7</v>
      </c>
      <c r="H18" s="4">
        <v>506.2</v>
      </c>
      <c r="I18" s="4">
        <v>521.30999999999995</v>
      </c>
      <c r="J18" s="3">
        <v>476.6</v>
      </c>
      <c r="K18" s="2">
        <v>467.73</v>
      </c>
      <c r="L18" s="8">
        <v>462.71</v>
      </c>
      <c r="M18" s="8">
        <v>466.62</v>
      </c>
      <c r="N18" s="4">
        <v>449.82</v>
      </c>
      <c r="O18" s="4">
        <v>408.69</v>
      </c>
      <c r="P18" s="4">
        <v>483.17</v>
      </c>
      <c r="Q18" s="4">
        <v>502.83</v>
      </c>
      <c r="R18" s="8">
        <v>504.04</v>
      </c>
      <c r="S18" s="11">
        <v>504.06</v>
      </c>
      <c r="T18" s="11">
        <v>508.67</v>
      </c>
      <c r="U18" s="11">
        <v>508.67</v>
      </c>
    </row>
    <row r="19" spans="1:21" ht="15.6">
      <c r="A19" s="7" t="s">
        <v>17</v>
      </c>
      <c r="B19" s="11">
        <v>5</v>
      </c>
      <c r="C19" s="11">
        <v>5.8</v>
      </c>
      <c r="D19" s="11">
        <v>7.3</v>
      </c>
      <c r="E19" s="4">
        <v>8.32</v>
      </c>
      <c r="F19" s="4">
        <v>8.81</v>
      </c>
      <c r="G19" s="4">
        <f t="shared" ref="G19:G24" si="0">(F19+H19)/2</f>
        <v>9.0549999999999997</v>
      </c>
      <c r="H19" s="4">
        <v>9.3000000000000007</v>
      </c>
      <c r="I19" s="4">
        <v>9.7899999999999991</v>
      </c>
      <c r="J19" s="3">
        <v>9.32</v>
      </c>
      <c r="K19" s="2">
        <v>9.43</v>
      </c>
      <c r="L19" s="8">
        <v>6.43</v>
      </c>
      <c r="M19" s="8">
        <v>6.72</v>
      </c>
      <c r="N19" s="4">
        <v>5.27</v>
      </c>
      <c r="O19" s="4">
        <v>5.39</v>
      </c>
      <c r="P19" s="4">
        <v>5.68</v>
      </c>
      <c r="Q19" s="4">
        <v>9.0500000000000007</v>
      </c>
      <c r="R19" s="8">
        <v>11.36</v>
      </c>
      <c r="S19" s="11">
        <v>11.76</v>
      </c>
      <c r="T19" s="11">
        <v>13.14</v>
      </c>
      <c r="U19" s="11">
        <v>14.69</v>
      </c>
    </row>
    <row r="20" spans="1:21" ht="15.6">
      <c r="A20" s="7" t="s">
        <v>18</v>
      </c>
      <c r="B20" s="11">
        <v>1</v>
      </c>
      <c r="C20" s="11">
        <v>1.4</v>
      </c>
      <c r="D20" s="11">
        <v>0.67</v>
      </c>
      <c r="E20" s="4">
        <v>0.76</v>
      </c>
      <c r="F20" s="4">
        <v>0.8</v>
      </c>
      <c r="G20" s="4">
        <f t="shared" si="0"/>
        <v>0.82499999999999996</v>
      </c>
      <c r="H20" s="4">
        <v>0.85</v>
      </c>
      <c r="I20" s="4">
        <v>0.89</v>
      </c>
      <c r="J20" s="3">
        <v>0.64</v>
      </c>
      <c r="K20" s="2">
        <v>0.06</v>
      </c>
      <c r="L20" s="8">
        <v>0.41</v>
      </c>
      <c r="M20" s="8">
        <v>0.41</v>
      </c>
      <c r="N20" s="4">
        <v>0.68</v>
      </c>
      <c r="O20" s="4">
        <v>0.74</v>
      </c>
      <c r="P20" s="4">
        <v>0.27</v>
      </c>
      <c r="Q20" s="4">
        <v>0.41</v>
      </c>
      <c r="R20" s="8">
        <v>0.39</v>
      </c>
      <c r="S20" s="11">
        <v>0.33</v>
      </c>
      <c r="T20" s="11">
        <v>0.33</v>
      </c>
      <c r="U20" s="11">
        <v>0.35</v>
      </c>
    </row>
    <row r="21" spans="1:21" ht="15.6">
      <c r="A21" s="7" t="s">
        <v>19</v>
      </c>
      <c r="B21" s="11">
        <v>3</v>
      </c>
      <c r="C21" s="11">
        <v>3.2</v>
      </c>
      <c r="D21" s="11">
        <v>2.92</v>
      </c>
      <c r="E21" s="4">
        <v>3.31</v>
      </c>
      <c r="F21" s="4">
        <v>3.5</v>
      </c>
      <c r="G21" s="4">
        <f t="shared" si="0"/>
        <v>3.6</v>
      </c>
      <c r="H21" s="4">
        <v>3.7</v>
      </c>
      <c r="I21" s="4">
        <v>3.89</v>
      </c>
      <c r="J21" s="3">
        <v>3.89</v>
      </c>
      <c r="K21" s="2">
        <v>4.09</v>
      </c>
      <c r="L21" s="8">
        <v>3.56</v>
      </c>
      <c r="M21" s="8">
        <v>3.87</v>
      </c>
      <c r="N21" s="4">
        <v>3.71</v>
      </c>
      <c r="O21" s="4">
        <v>3.75</v>
      </c>
      <c r="P21" s="4">
        <v>3.75</v>
      </c>
      <c r="Q21" s="4">
        <v>5.53</v>
      </c>
      <c r="R21" s="8">
        <v>5.54</v>
      </c>
      <c r="S21" s="11">
        <v>5.55</v>
      </c>
      <c r="T21" s="11">
        <v>5.55</v>
      </c>
      <c r="U21" s="11">
        <v>5.56</v>
      </c>
    </row>
    <row r="22" spans="1:21" ht="15.6">
      <c r="A22" s="7" t="s">
        <v>20</v>
      </c>
      <c r="B22" s="11">
        <v>3462</v>
      </c>
      <c r="C22" s="11">
        <v>4647.6000000000004</v>
      </c>
      <c r="D22" s="11">
        <v>3852.2</v>
      </c>
      <c r="E22" s="4">
        <f>(D22+F22)/2</f>
        <v>4416.5499999999993</v>
      </c>
      <c r="F22" s="4">
        <v>4980.8999999999996</v>
      </c>
      <c r="G22" s="4">
        <f t="shared" si="0"/>
        <v>5239.1625000000004</v>
      </c>
      <c r="H22" s="4">
        <v>5497.4250000000002</v>
      </c>
      <c r="I22" s="4">
        <v>5136.2</v>
      </c>
      <c r="J22" s="3">
        <v>5650</v>
      </c>
      <c r="K22" s="2">
        <f>(J22+L22)/2</f>
        <v>4990.8249999999998</v>
      </c>
      <c r="L22" s="8">
        <v>4331.6499999999996</v>
      </c>
      <c r="M22" s="8">
        <v>3640.73</v>
      </c>
      <c r="N22" s="4">
        <v>3205.04</v>
      </c>
      <c r="O22" s="4">
        <v>3153.55</v>
      </c>
      <c r="P22" s="4">
        <v>3986.73</v>
      </c>
      <c r="Q22" s="4">
        <v>3895.65</v>
      </c>
      <c r="R22" s="8">
        <v>3953.67</v>
      </c>
      <c r="S22" s="11">
        <v>4522.62</v>
      </c>
      <c r="T22" s="11">
        <v>4719.95</v>
      </c>
      <c r="U22" s="11">
        <v>4905.4799999999996</v>
      </c>
    </row>
    <row r="23" spans="1:21" ht="15.6">
      <c r="A23" s="7" t="s">
        <v>21</v>
      </c>
      <c r="B23" s="11">
        <v>300</v>
      </c>
      <c r="C23" s="11">
        <v>345.7</v>
      </c>
      <c r="D23" s="11">
        <v>100.3</v>
      </c>
      <c r="E23" s="4">
        <v>113.65</v>
      </c>
      <c r="F23" s="4">
        <v>120.33</v>
      </c>
      <c r="G23" s="4">
        <f t="shared" si="0"/>
        <v>123.675</v>
      </c>
      <c r="H23" s="4">
        <v>127.02</v>
      </c>
      <c r="I23" s="4">
        <v>133.69999999999999</v>
      </c>
      <c r="J23" s="3">
        <v>301.49</v>
      </c>
      <c r="K23" s="2">
        <v>268.56</v>
      </c>
      <c r="L23" s="8">
        <v>183.7</v>
      </c>
      <c r="M23" s="8">
        <v>143.88</v>
      </c>
      <c r="N23" s="4">
        <v>90.02</v>
      </c>
      <c r="O23" s="4">
        <v>108.55</v>
      </c>
      <c r="P23" s="4">
        <v>91.04</v>
      </c>
      <c r="Q23" s="4">
        <v>100.12</v>
      </c>
      <c r="R23" s="8">
        <v>84.95</v>
      </c>
      <c r="S23" s="11">
        <v>109.61</v>
      </c>
      <c r="T23" s="11">
        <v>100.25</v>
      </c>
      <c r="U23" s="11">
        <v>74.680000000000007</v>
      </c>
    </row>
    <row r="24" spans="1:21" ht="15.6">
      <c r="A24" s="7" t="s">
        <v>22</v>
      </c>
      <c r="B24" s="11">
        <v>95</v>
      </c>
      <c r="C24" s="11">
        <v>102.6</v>
      </c>
      <c r="D24" s="11">
        <v>83.5</v>
      </c>
      <c r="E24" s="4">
        <v>94.62</v>
      </c>
      <c r="F24" s="4">
        <v>100.19</v>
      </c>
      <c r="G24" s="4">
        <f t="shared" si="0"/>
        <v>102.97</v>
      </c>
      <c r="H24" s="4">
        <v>105.75</v>
      </c>
      <c r="I24" s="4">
        <v>133.69999999999999</v>
      </c>
      <c r="J24" s="3">
        <v>134.25</v>
      </c>
      <c r="K24" s="2">
        <v>72</v>
      </c>
      <c r="L24" s="8">
        <v>153.62</v>
      </c>
      <c r="M24" s="8">
        <v>152.08000000000001</v>
      </c>
      <c r="N24" s="4">
        <v>109.4</v>
      </c>
      <c r="O24" s="4">
        <v>109.52</v>
      </c>
      <c r="P24" s="4">
        <v>110.24</v>
      </c>
      <c r="Q24" s="4">
        <v>111.11</v>
      </c>
      <c r="R24" s="8">
        <v>110.47</v>
      </c>
      <c r="S24" s="11">
        <v>114.22</v>
      </c>
      <c r="T24" s="11">
        <v>114.34</v>
      </c>
      <c r="U24" s="11">
        <v>114.34</v>
      </c>
    </row>
    <row r="25" spans="1:21" ht="15.6">
      <c r="A25" s="7" t="s">
        <v>23</v>
      </c>
      <c r="B25" s="11">
        <v>1100</v>
      </c>
      <c r="C25" s="11">
        <v>1165.9000000000001</v>
      </c>
      <c r="D25" s="11">
        <v>808.4</v>
      </c>
      <c r="E25" s="4">
        <v>916.13</v>
      </c>
      <c r="F25" s="4">
        <v>1138.5999999999999</v>
      </c>
      <c r="G25" s="4">
        <v>1346.1</v>
      </c>
      <c r="H25" s="4">
        <v>1023.91</v>
      </c>
      <c r="I25" s="4">
        <v>1111.32</v>
      </c>
      <c r="J25" s="3">
        <v>1599.02</v>
      </c>
      <c r="K25" s="2">
        <v>1950.62</v>
      </c>
      <c r="L25" s="8">
        <v>3061.21</v>
      </c>
      <c r="M25" s="8">
        <v>3078.73</v>
      </c>
      <c r="N25" s="4">
        <v>3172.33</v>
      </c>
      <c r="O25" s="4">
        <v>3222.57</v>
      </c>
      <c r="P25" s="4">
        <v>3332.14</v>
      </c>
      <c r="Q25" s="4">
        <v>3387.51</v>
      </c>
      <c r="R25" s="8">
        <v>3391.01</v>
      </c>
      <c r="S25" s="11">
        <v>4037.9</v>
      </c>
      <c r="T25" s="11">
        <v>4191.8500000000004</v>
      </c>
      <c r="U25" s="11">
        <v>4757.84</v>
      </c>
    </row>
    <row r="26" spans="1:21" ht="15.6">
      <c r="A26" s="7" t="s">
        <v>24</v>
      </c>
      <c r="B26" s="11">
        <v>800</v>
      </c>
      <c r="C26" s="11">
        <v>756.9</v>
      </c>
      <c r="D26" s="11">
        <v>756.9</v>
      </c>
      <c r="E26" s="4">
        <v>954.1</v>
      </c>
      <c r="F26" s="4">
        <v>982.2</v>
      </c>
      <c r="G26" s="4">
        <v>1010.1</v>
      </c>
      <c r="H26" s="4">
        <v>1054</v>
      </c>
      <c r="I26" s="4">
        <v>1077.8</v>
      </c>
      <c r="J26" s="3">
        <v>1097.5</v>
      </c>
      <c r="K26" s="2">
        <v>1124</v>
      </c>
      <c r="L26" s="8">
        <v>1172.3399999999999</v>
      </c>
      <c r="M26" s="8">
        <v>1195.5999999999999</v>
      </c>
      <c r="N26" s="4">
        <v>1200</v>
      </c>
      <c r="O26" s="4">
        <v>1223.25</v>
      </c>
      <c r="P26" s="4">
        <v>1132.6500000000001</v>
      </c>
      <c r="Q26" s="4">
        <v>1116.4100000000001</v>
      </c>
      <c r="R26" s="8">
        <v>1203.73</v>
      </c>
      <c r="S26" s="11">
        <v>1416.13</v>
      </c>
      <c r="T26" s="11">
        <v>1440.01</v>
      </c>
      <c r="U26" s="11">
        <v>1434.15</v>
      </c>
    </row>
    <row r="27" spans="1:21" ht="15.6">
      <c r="A27" s="7" t="s">
        <v>27</v>
      </c>
      <c r="B27" s="4">
        <f>SUM(B2:B26)</f>
        <v>18634.349999999999</v>
      </c>
      <c r="C27" s="4">
        <f t="shared" ref="C27:S27" si="1">SUM(C2:C26)</f>
        <v>20734.38</v>
      </c>
      <c r="D27" s="4">
        <f t="shared" si="1"/>
        <v>20601.730000000003</v>
      </c>
      <c r="E27" s="4">
        <f t="shared" si="1"/>
        <v>25093.040000000001</v>
      </c>
      <c r="F27" s="4">
        <f t="shared" si="1"/>
        <v>26005.85</v>
      </c>
      <c r="G27" s="4">
        <f t="shared" si="1"/>
        <v>26819.7225</v>
      </c>
      <c r="H27" s="4">
        <f t="shared" si="1"/>
        <v>26908.675000000003</v>
      </c>
      <c r="I27" s="4">
        <f t="shared" si="1"/>
        <v>27593.47</v>
      </c>
      <c r="J27" s="4">
        <f t="shared" si="1"/>
        <v>29675.129999999997</v>
      </c>
      <c r="K27" s="4">
        <f t="shared" si="1"/>
        <v>28732.815000000002</v>
      </c>
      <c r="L27" s="4">
        <f t="shared" si="1"/>
        <v>29081.3</v>
      </c>
      <c r="M27" s="4">
        <f t="shared" si="1"/>
        <v>29105.35</v>
      </c>
      <c r="N27" s="4">
        <f t="shared" si="1"/>
        <v>30753.210000000006</v>
      </c>
      <c r="O27" s="4">
        <f t="shared" si="1"/>
        <v>30405.559999999998</v>
      </c>
      <c r="P27" s="4">
        <f t="shared" si="1"/>
        <v>32545.05</v>
      </c>
      <c r="Q27" s="4">
        <f t="shared" si="1"/>
        <v>33010.17</v>
      </c>
      <c r="R27" s="4">
        <f t="shared" si="1"/>
        <v>34475.160000000003</v>
      </c>
      <c r="S27" s="4">
        <f t="shared" si="1"/>
        <v>36561.1</v>
      </c>
      <c r="T27" s="4">
        <f>SUM(T2:T26)</f>
        <v>37561.620000000003</v>
      </c>
      <c r="U27" s="4">
        <f>SUM(U2:U26)</f>
        <v>37999.870000000003</v>
      </c>
    </row>
    <row r="31" spans="1:21">
      <c r="A31" s="9"/>
      <c r="B31" s="9"/>
      <c r="C31" s="9"/>
      <c r="D31" s="9"/>
    </row>
    <row r="32" spans="1:21">
      <c r="A32" s="10"/>
      <c r="B32" s="10"/>
      <c r="C32" s="10"/>
      <c r="D32" s="10"/>
    </row>
    <row r="33" spans="1:22">
      <c r="A33" s="10"/>
      <c r="B33" s="10"/>
      <c r="C33" s="10"/>
      <c r="D33" s="10"/>
    </row>
    <row r="34" spans="1:22">
      <c r="A34" s="10"/>
      <c r="B34" s="10"/>
      <c r="C34" s="10"/>
      <c r="D34" s="10"/>
    </row>
    <row r="35" spans="1:22">
      <c r="A35" s="10"/>
      <c r="B35" s="10"/>
      <c r="C35" s="10"/>
      <c r="D35" s="10"/>
    </row>
    <row r="36" spans="1:22">
      <c r="A36" s="10"/>
      <c r="B36" s="10"/>
      <c r="C36" s="10"/>
      <c r="D36" s="10"/>
    </row>
    <row r="37" spans="1:22" ht="15.6">
      <c r="A37" s="7"/>
      <c r="B37" s="11"/>
      <c r="C37" s="11"/>
      <c r="D37" s="4"/>
      <c r="E37" s="4"/>
      <c r="F37" s="4"/>
      <c r="G37" s="4"/>
      <c r="H37" s="4"/>
      <c r="I37" s="3"/>
      <c r="J37" s="2"/>
      <c r="K37" s="8"/>
      <c r="L37" s="8"/>
      <c r="M37" s="4"/>
      <c r="N37" s="4"/>
      <c r="O37" s="4"/>
      <c r="P37" s="4"/>
      <c r="Q37" s="8"/>
      <c r="R37" s="8"/>
      <c r="S37" s="4"/>
    </row>
    <row r="38" spans="1:22">
      <c r="A38" s="10"/>
      <c r="B38" s="10"/>
      <c r="C38" s="10"/>
      <c r="D38" s="10"/>
    </row>
    <row r="39" spans="1:22" ht="15.6">
      <c r="A39" s="7"/>
      <c r="B39" s="7"/>
      <c r="C39" s="7"/>
      <c r="D39" s="7"/>
      <c r="E39" s="7"/>
      <c r="J39" s="4"/>
      <c r="K39" s="4"/>
      <c r="L39" s="4"/>
    </row>
    <row r="40" spans="1:22">
      <c r="A40" s="11"/>
      <c r="B40" s="11"/>
      <c r="C40" s="11"/>
      <c r="D40" s="11"/>
      <c r="E40" s="11"/>
      <c r="J40" s="4"/>
      <c r="K40" s="4"/>
      <c r="L40" s="4"/>
    </row>
    <row r="41" spans="1:22">
      <c r="A41" s="11"/>
      <c r="B41" s="11"/>
      <c r="C41" s="11"/>
      <c r="D41" s="11"/>
      <c r="E41" s="11"/>
      <c r="J41" s="4"/>
      <c r="K41" s="4"/>
      <c r="L41" s="4"/>
    </row>
    <row r="42" spans="1:22">
      <c r="A42" s="11"/>
      <c r="B42" s="11"/>
      <c r="C42" s="11"/>
      <c r="D42" s="11"/>
      <c r="E42" s="11"/>
      <c r="J42" s="4"/>
      <c r="K42" s="4"/>
      <c r="L42" s="4"/>
    </row>
    <row r="43" spans="1:22">
      <c r="A43" s="4"/>
      <c r="B43" s="4"/>
      <c r="C43" s="4"/>
      <c r="D43" s="4"/>
      <c r="E43" s="4"/>
      <c r="J43" s="4"/>
      <c r="K43" s="4"/>
      <c r="L43" s="4"/>
    </row>
    <row r="44" spans="1:22">
      <c r="A44" s="4"/>
      <c r="B44" s="4"/>
      <c r="C44" s="4"/>
      <c r="D44" s="4"/>
      <c r="E44" s="4"/>
      <c r="J44" s="4"/>
      <c r="K44" s="4"/>
      <c r="L44" s="4"/>
      <c r="Q44" s="9"/>
      <c r="R44" s="9"/>
      <c r="S44" s="9"/>
      <c r="T44" s="9"/>
      <c r="U44" s="9"/>
      <c r="V44" s="9"/>
    </row>
    <row r="45" spans="1:22">
      <c r="A45" s="4"/>
      <c r="B45" s="4"/>
      <c r="C45" s="4"/>
      <c r="D45" s="4"/>
      <c r="E45" s="4"/>
      <c r="J45" s="4"/>
      <c r="K45" s="4"/>
      <c r="L45" s="4"/>
      <c r="Q45" s="10"/>
      <c r="R45" s="10"/>
      <c r="S45" s="10"/>
      <c r="T45" s="10"/>
      <c r="U45" s="10"/>
      <c r="V45" s="10"/>
    </row>
    <row r="46" spans="1:22">
      <c r="A46" s="4"/>
      <c r="B46" s="4"/>
      <c r="C46" s="4"/>
      <c r="D46" s="4"/>
      <c r="E46" s="4"/>
      <c r="J46" s="4"/>
      <c r="K46" s="4"/>
      <c r="L46" s="4"/>
      <c r="Q46" s="10"/>
      <c r="R46" s="10"/>
      <c r="S46" s="10"/>
      <c r="T46" s="10"/>
      <c r="U46" s="10"/>
      <c r="V46" s="10"/>
    </row>
    <row r="47" spans="1:22">
      <c r="A47" s="4"/>
      <c r="B47" s="4"/>
      <c r="C47" s="4"/>
      <c r="D47" s="4"/>
      <c r="E47" s="4"/>
      <c r="J47" s="4"/>
      <c r="K47" s="4"/>
      <c r="L47" s="4"/>
      <c r="Q47" s="10"/>
      <c r="R47" s="10"/>
      <c r="S47" s="10"/>
      <c r="T47" s="10"/>
      <c r="U47" s="10"/>
      <c r="V47" s="10"/>
    </row>
    <row r="48" spans="1:22">
      <c r="A48" s="3"/>
      <c r="B48" s="3"/>
      <c r="C48" s="3"/>
      <c r="D48" s="3"/>
      <c r="E48" s="3"/>
      <c r="J48" s="4"/>
      <c r="K48" s="4"/>
      <c r="L48" s="4"/>
      <c r="Q48" s="10"/>
      <c r="R48" s="10"/>
      <c r="S48" s="10"/>
      <c r="T48" s="10"/>
      <c r="U48" s="10"/>
      <c r="V48" s="10"/>
    </row>
    <row r="49" spans="1:22">
      <c r="A49" s="2"/>
      <c r="B49" s="1"/>
      <c r="C49" s="2"/>
      <c r="D49" s="2"/>
      <c r="E49" s="2"/>
      <c r="J49" s="4"/>
      <c r="K49" s="4"/>
      <c r="L49" s="4"/>
      <c r="Q49" s="10"/>
      <c r="R49" s="10"/>
      <c r="S49" s="10"/>
      <c r="T49" s="10"/>
      <c r="U49" s="10"/>
      <c r="V49" s="10"/>
    </row>
    <row r="50" spans="1:22">
      <c r="A50" s="8"/>
      <c r="B50" s="8"/>
      <c r="C50" s="8"/>
      <c r="D50" s="8"/>
      <c r="E50" s="8"/>
      <c r="J50" s="4"/>
      <c r="K50" s="4"/>
      <c r="L50" s="4"/>
      <c r="Q50" s="10"/>
      <c r="R50" s="10"/>
      <c r="S50" s="10"/>
      <c r="T50" s="10"/>
      <c r="U50" s="10"/>
      <c r="V50" s="10"/>
    </row>
    <row r="51" spans="1:22">
      <c r="A51" s="8"/>
      <c r="B51" s="8"/>
      <c r="C51" s="8"/>
      <c r="D51" s="8"/>
      <c r="E51" s="8"/>
      <c r="J51" s="4"/>
      <c r="K51" s="4"/>
      <c r="L51" s="4"/>
      <c r="Q51" s="10"/>
      <c r="R51" s="10"/>
      <c r="S51" s="10"/>
      <c r="T51" s="10"/>
      <c r="U51" s="10"/>
      <c r="V51" s="10"/>
    </row>
    <row r="52" spans="1:22">
      <c r="A52" s="4"/>
      <c r="B52" s="4"/>
      <c r="C52" s="4"/>
      <c r="D52" s="4"/>
      <c r="E52" s="4"/>
      <c r="J52" s="4"/>
      <c r="K52" s="4"/>
      <c r="L52" s="4"/>
      <c r="Q52" s="10"/>
      <c r="R52" s="10"/>
      <c r="S52" s="10"/>
      <c r="T52" s="10"/>
      <c r="U52" s="10"/>
      <c r="V52" s="10"/>
    </row>
    <row r="53" spans="1:22">
      <c r="A53" s="4"/>
      <c r="B53" s="4"/>
      <c r="C53" s="4"/>
      <c r="D53" s="4"/>
      <c r="E53" s="4"/>
      <c r="J53" s="4"/>
      <c r="K53" s="4"/>
      <c r="L53" s="4"/>
      <c r="Q53" s="10"/>
      <c r="R53" s="10"/>
      <c r="S53" s="10"/>
      <c r="T53" s="10"/>
      <c r="U53" s="10"/>
      <c r="V53" s="10"/>
    </row>
    <row r="54" spans="1:22">
      <c r="A54" s="4"/>
      <c r="B54" s="4"/>
      <c r="C54" s="4"/>
      <c r="D54" s="4"/>
      <c r="E54" s="4"/>
      <c r="J54" s="4"/>
      <c r="K54" s="4"/>
      <c r="L54" s="4"/>
      <c r="Q54" s="10"/>
      <c r="R54" s="10"/>
      <c r="S54" s="10"/>
      <c r="T54" s="10"/>
      <c r="U54" s="10"/>
      <c r="V54" s="10"/>
    </row>
    <row r="55" spans="1:22">
      <c r="A55" s="4"/>
      <c r="B55" s="4"/>
      <c r="C55" s="4"/>
      <c r="D55" s="4"/>
      <c r="E55" s="4"/>
      <c r="J55" s="4"/>
      <c r="K55" s="4"/>
      <c r="L55" s="4"/>
      <c r="Q55" s="10"/>
      <c r="R55" s="10"/>
      <c r="S55" s="10"/>
      <c r="T55" s="10"/>
      <c r="U55" s="10"/>
      <c r="V55" s="10"/>
    </row>
    <row r="56" spans="1:22">
      <c r="A56" s="8"/>
      <c r="B56" s="8"/>
      <c r="C56" s="8"/>
      <c r="D56" s="8"/>
      <c r="E56" s="8"/>
      <c r="J56" s="4"/>
      <c r="K56" s="4"/>
      <c r="L56" s="4"/>
      <c r="Q56" s="10"/>
      <c r="R56" s="10"/>
      <c r="S56" s="10"/>
      <c r="T56" s="10"/>
      <c r="U56" s="10"/>
      <c r="V56" s="10"/>
    </row>
    <row r="57" spans="1:22">
      <c r="A57" s="8"/>
      <c r="B57" s="8"/>
      <c r="C57" s="8"/>
      <c r="D57" s="8"/>
      <c r="E57" s="8"/>
      <c r="J57" s="4"/>
      <c r="K57" s="4"/>
      <c r="L57" s="4"/>
      <c r="Q57" s="10"/>
      <c r="R57" s="10"/>
      <c r="S57" s="10"/>
      <c r="T57" s="10"/>
      <c r="U57" s="10"/>
      <c r="V57" s="10"/>
    </row>
    <row r="58" spans="1:22">
      <c r="A58" s="4"/>
      <c r="B58" s="4"/>
      <c r="C58" s="4"/>
      <c r="D58" s="4"/>
      <c r="E58" s="4"/>
      <c r="J58" s="4"/>
      <c r="K58" s="4"/>
      <c r="L58" s="4"/>
      <c r="Q58" s="10"/>
      <c r="R58" s="10"/>
      <c r="S58" s="10"/>
      <c r="T58" s="10"/>
      <c r="U58" s="10"/>
      <c r="V58" s="10"/>
    </row>
    <row r="59" spans="1:22">
      <c r="J59" s="4"/>
      <c r="K59" s="4"/>
      <c r="L59" s="4"/>
      <c r="Q59" s="10"/>
      <c r="R59" s="10"/>
      <c r="S59" s="10"/>
      <c r="T59" s="10"/>
      <c r="U59" s="10"/>
      <c r="V59" s="10"/>
    </row>
    <row r="60" spans="1:22">
      <c r="J60" s="4"/>
      <c r="K60" s="4"/>
      <c r="L60" s="4"/>
      <c r="Q60" s="10"/>
      <c r="R60" s="10"/>
      <c r="S60" s="10"/>
      <c r="T60" s="10"/>
      <c r="U60" s="10"/>
      <c r="V60" s="10"/>
    </row>
    <row r="61" spans="1:22">
      <c r="J61" s="4"/>
      <c r="K61" s="4"/>
      <c r="L61" s="4"/>
      <c r="Q61" s="10"/>
      <c r="R61" s="10"/>
      <c r="S61" s="10"/>
      <c r="T61" s="10"/>
      <c r="U61" s="10"/>
      <c r="V61" s="10"/>
    </row>
    <row r="62" spans="1:22">
      <c r="J62" s="4"/>
      <c r="K62" s="4"/>
      <c r="L62" s="4"/>
      <c r="Q62" s="10"/>
      <c r="R62" s="10"/>
      <c r="S62" s="10"/>
      <c r="T62" s="10"/>
      <c r="U62" s="10"/>
      <c r="V62" s="10"/>
    </row>
    <row r="63" spans="1:22">
      <c r="J63" s="4"/>
      <c r="K63" s="4"/>
      <c r="L63" s="4"/>
      <c r="Q63" s="10"/>
      <c r="R63" s="10"/>
      <c r="S63" s="10"/>
      <c r="T63" s="10"/>
      <c r="U63" s="10"/>
      <c r="V63" s="10"/>
    </row>
    <row r="64" spans="1:22">
      <c r="Q64" s="10"/>
      <c r="R64" s="10"/>
      <c r="S64" s="10"/>
      <c r="T64" s="10"/>
      <c r="U64" s="10"/>
      <c r="V64" s="10"/>
    </row>
    <row r="65" spans="4:22">
      <c r="Q65" s="10"/>
      <c r="R65" s="10"/>
      <c r="S65" s="10"/>
      <c r="T65" s="10"/>
      <c r="U65" s="10"/>
      <c r="V65" s="10"/>
    </row>
    <row r="66" spans="4:22">
      <c r="Q66" s="10"/>
      <c r="R66" s="10"/>
      <c r="S66" s="10"/>
      <c r="T66" s="10"/>
      <c r="U66" s="10"/>
      <c r="V66" s="10"/>
    </row>
    <row r="67" spans="4:22">
      <c r="Q67" s="10"/>
      <c r="R67" s="10"/>
      <c r="S67" s="10"/>
      <c r="T67" s="10"/>
      <c r="U67" s="10"/>
      <c r="V67" s="10"/>
    </row>
    <row r="68" spans="4:22">
      <c r="Q68" s="10"/>
      <c r="R68" s="10"/>
      <c r="S68" s="10"/>
      <c r="T68" s="10"/>
      <c r="U68" s="10"/>
      <c r="V68" s="10"/>
    </row>
    <row r="69" spans="4:22">
      <c r="Q69" s="10"/>
      <c r="R69" s="10"/>
      <c r="S69" s="10"/>
      <c r="T69" s="10"/>
      <c r="U69" s="10"/>
      <c r="V69" s="10"/>
    </row>
    <row r="71" spans="4:22">
      <c r="D71" s="13"/>
      <c r="E71" s="21"/>
    </row>
    <row r="72" spans="4:22">
      <c r="D72" s="13"/>
      <c r="E72" s="14"/>
    </row>
    <row r="73" spans="4:22">
      <c r="D73" s="13"/>
      <c r="E73" s="21"/>
    </row>
    <row r="74" spans="4:22" ht="15.6">
      <c r="D74" s="13"/>
      <c r="E74" s="21"/>
      <c r="P74" s="7"/>
      <c r="Q74" s="7"/>
      <c r="R74" s="7"/>
      <c r="S74" s="7"/>
      <c r="T74" s="7"/>
    </row>
    <row r="75" spans="4:22">
      <c r="D75" s="13"/>
      <c r="E75" s="14"/>
      <c r="P75" s="11"/>
      <c r="Q75" s="11"/>
      <c r="R75" s="11"/>
      <c r="S75" s="11"/>
      <c r="T75" s="11"/>
    </row>
    <row r="76" spans="4:22">
      <c r="D76" s="13"/>
      <c r="E76" s="21"/>
      <c r="P76" s="11"/>
      <c r="Q76" s="11"/>
      <c r="R76" s="11"/>
      <c r="S76" s="11"/>
      <c r="T76" s="11"/>
    </row>
    <row r="77" spans="4:22">
      <c r="D77" s="13"/>
      <c r="E77" s="14"/>
      <c r="P77" s="11"/>
      <c r="Q77" s="11"/>
      <c r="R77" s="11"/>
      <c r="S77" s="11"/>
      <c r="T77" s="11"/>
    </row>
    <row r="78" spans="4:22">
      <c r="D78" s="13"/>
      <c r="E78" s="14"/>
      <c r="P78" s="4"/>
      <c r="Q78" s="4"/>
      <c r="R78" s="4"/>
      <c r="S78" s="4"/>
      <c r="T78" s="4"/>
    </row>
    <row r="79" spans="4:22">
      <c r="D79" s="13"/>
      <c r="E79" s="21"/>
      <c r="P79" s="4"/>
      <c r="Q79" s="4"/>
      <c r="R79" s="4"/>
      <c r="S79" s="4"/>
      <c r="T79" s="4"/>
    </row>
    <row r="80" spans="4:22">
      <c r="D80" s="13"/>
      <c r="E80" s="14"/>
      <c r="P80" s="4"/>
      <c r="Q80" s="4"/>
      <c r="R80" s="4"/>
      <c r="S80" s="4"/>
      <c r="T80" s="4"/>
    </row>
    <row r="81" spans="4:20">
      <c r="D81" s="13"/>
      <c r="E81" s="21"/>
      <c r="P81" s="4"/>
      <c r="Q81" s="4"/>
      <c r="R81" s="4"/>
      <c r="S81" s="4"/>
      <c r="T81" s="4"/>
    </row>
    <row r="82" spans="4:20">
      <c r="D82" s="13"/>
      <c r="E82" s="21"/>
      <c r="P82" s="4"/>
      <c r="Q82" s="4"/>
      <c r="R82" s="4"/>
      <c r="S82" s="4"/>
      <c r="T82" s="4"/>
    </row>
    <row r="83" spans="4:20">
      <c r="D83" s="13"/>
      <c r="E83" s="14"/>
      <c r="P83" s="3"/>
      <c r="Q83" s="3"/>
      <c r="R83" s="3"/>
      <c r="S83" s="3"/>
      <c r="T83" s="3"/>
    </row>
    <row r="84" spans="4:20">
      <c r="D84" s="13"/>
      <c r="E84" s="14"/>
      <c r="P84" s="2"/>
      <c r="Q84" s="1"/>
      <c r="R84" s="2"/>
      <c r="S84" s="2"/>
      <c r="T84" s="2"/>
    </row>
    <row r="85" spans="4:20">
      <c r="D85" s="13"/>
      <c r="E85" s="14"/>
      <c r="P85" s="8"/>
      <c r="Q85" s="8"/>
      <c r="R85" s="8"/>
      <c r="S85" s="8"/>
      <c r="T85" s="8"/>
    </row>
    <row r="86" spans="4:20">
      <c r="D86" s="13"/>
      <c r="E86" s="14"/>
      <c r="P86" s="8"/>
      <c r="Q86" s="8"/>
      <c r="R86" s="8"/>
      <c r="S86" s="8"/>
      <c r="T86" s="8"/>
    </row>
    <row r="87" spans="4:20">
      <c r="D87" s="13"/>
      <c r="E87" s="14"/>
      <c r="P87" s="4"/>
      <c r="Q87" s="4"/>
      <c r="R87" s="4"/>
      <c r="S87" s="4"/>
      <c r="T87" s="4"/>
    </row>
    <row r="88" spans="4:20">
      <c r="D88" s="13"/>
      <c r="E88" s="14"/>
      <c r="P88" s="4"/>
      <c r="Q88" s="4"/>
      <c r="R88" s="4"/>
      <c r="S88" s="4"/>
      <c r="T88" s="4"/>
    </row>
    <row r="89" spans="4:20">
      <c r="D89" s="13"/>
      <c r="E89" s="14"/>
      <c r="P89" s="4"/>
      <c r="Q89" s="4"/>
      <c r="R89" s="4"/>
      <c r="S89" s="4"/>
      <c r="T89" s="4"/>
    </row>
    <row r="90" spans="4:20">
      <c r="D90" s="13"/>
      <c r="E90" s="14"/>
      <c r="P90" s="4"/>
      <c r="Q90" s="4"/>
      <c r="R90" s="4"/>
      <c r="S90" s="4"/>
      <c r="T90" s="4"/>
    </row>
    <row r="91" spans="4:20">
      <c r="D91" s="13"/>
      <c r="E91" s="21"/>
      <c r="P91" s="8"/>
      <c r="Q91" s="8"/>
      <c r="R91" s="8"/>
      <c r="S91" s="8"/>
      <c r="T91" s="8"/>
    </row>
    <row r="92" spans="4:20">
      <c r="D92" s="13"/>
      <c r="E92" s="14"/>
      <c r="P92" s="11"/>
      <c r="Q92" s="11"/>
      <c r="R92" s="11"/>
      <c r="S92" s="11"/>
      <c r="T92" s="11"/>
    </row>
    <row r="93" spans="4:20">
      <c r="D93" s="13"/>
      <c r="E93" s="14"/>
      <c r="P93" s="11"/>
      <c r="Q93" s="11"/>
      <c r="R93" s="11"/>
      <c r="S93" s="11"/>
      <c r="T93" s="11"/>
    </row>
    <row r="94" spans="4:20">
      <c r="D94" s="13"/>
      <c r="E94" s="21"/>
      <c r="P94" s="11"/>
      <c r="Q94" s="11"/>
      <c r="R94" s="11"/>
      <c r="S94" s="11"/>
      <c r="T94" s="11"/>
    </row>
    <row r="95" spans="4:20">
      <c r="D95" s="13"/>
      <c r="E95" s="2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921B-45DA-41DA-970E-37519056A691}">
  <dimension ref="A1:U26"/>
  <sheetViews>
    <sheetView zoomScale="86" workbookViewId="0">
      <selection activeCell="U2" sqref="U2:U26"/>
    </sheetView>
  </sheetViews>
  <sheetFormatPr defaultRowHeight="14.4"/>
  <cols>
    <col min="1" max="1" width="18.77734375" bestFit="1" customWidth="1"/>
  </cols>
  <sheetData>
    <row r="1" spans="1:21" s="30" customFormat="1">
      <c r="A1" s="43" t="s">
        <v>0</v>
      </c>
      <c r="B1" s="41">
        <v>2005</v>
      </c>
      <c r="C1" s="41">
        <v>2006</v>
      </c>
      <c r="D1" s="41">
        <v>2007</v>
      </c>
      <c r="E1" s="41">
        <v>2008</v>
      </c>
      <c r="F1" s="41">
        <v>2009</v>
      </c>
      <c r="G1" s="41">
        <v>2010</v>
      </c>
      <c r="H1" s="41">
        <v>2011</v>
      </c>
      <c r="I1" s="41">
        <v>2012</v>
      </c>
      <c r="J1" s="41">
        <v>2013</v>
      </c>
      <c r="K1" s="41">
        <v>2014</v>
      </c>
      <c r="L1" s="41">
        <v>2015</v>
      </c>
      <c r="M1" s="41">
        <v>2016</v>
      </c>
      <c r="N1" s="41">
        <v>2017</v>
      </c>
      <c r="O1" s="41">
        <v>2018</v>
      </c>
      <c r="P1" s="41">
        <v>2019</v>
      </c>
      <c r="Q1" s="41">
        <v>2020</v>
      </c>
      <c r="R1" s="41">
        <v>2021</v>
      </c>
      <c r="S1" s="41">
        <v>2022</v>
      </c>
      <c r="T1" s="41">
        <v>2023</v>
      </c>
      <c r="U1" s="42">
        <v>2024</v>
      </c>
    </row>
    <row r="2" spans="1:21" ht="15.6">
      <c r="A2" s="7" t="s">
        <v>1</v>
      </c>
      <c r="B2" s="37">
        <v>20.407092198581562</v>
      </c>
      <c r="C2" s="37">
        <v>20.998626373626376</v>
      </c>
      <c r="D2" s="37">
        <v>32.34175531914893</v>
      </c>
      <c r="E2" s="37">
        <v>35.538656527249678</v>
      </c>
      <c r="F2" s="37">
        <v>34.982630272952854</v>
      </c>
      <c r="G2" s="37">
        <v>35.803870967741936</v>
      </c>
      <c r="H2" s="37">
        <v>36.564943253467845</v>
      </c>
      <c r="I2" s="37">
        <v>35.000539665407445</v>
      </c>
      <c r="J2" s="37">
        <v>35.001105216622456</v>
      </c>
      <c r="K2" s="37">
        <v>34.999169238072632</v>
      </c>
      <c r="L2" s="37">
        <v>47.155573164289486</v>
      </c>
      <c r="M2" s="37">
        <v>48.002201112140874</v>
      </c>
      <c r="N2" s="37">
        <v>56.75448354143019</v>
      </c>
      <c r="O2" s="37">
        <v>58.775550891920261</v>
      </c>
      <c r="P2" s="37">
        <v>59.996929375639709</v>
      </c>
      <c r="Q2" s="37">
        <v>59.996915167095111</v>
      </c>
      <c r="R2" s="37">
        <v>51.998444932308821</v>
      </c>
      <c r="S2" s="37">
        <v>54.998561409818372</v>
      </c>
      <c r="T2" s="37">
        <v>54.998396528956803</v>
      </c>
      <c r="U2" s="37">
        <v>60.769175239126511</v>
      </c>
    </row>
    <row r="3" spans="1:21" ht="15.6">
      <c r="A3" s="7" t="s">
        <v>2</v>
      </c>
      <c r="B3" s="37">
        <v>2.0833333333333335</v>
      </c>
      <c r="C3" s="37">
        <v>2.52</v>
      </c>
      <c r="D3" s="37">
        <v>2.5660377358490565</v>
      </c>
      <c r="E3" s="37">
        <v>1.2991596638655463</v>
      </c>
      <c r="F3" s="37">
        <v>1.3418032786885248</v>
      </c>
      <c r="G3" s="37">
        <v>1.3491803278688526</v>
      </c>
      <c r="H3" s="37">
        <v>1.35</v>
      </c>
      <c r="I3" s="37">
        <v>2.9673735725938011</v>
      </c>
      <c r="J3" s="37">
        <v>3.0658105939004816</v>
      </c>
      <c r="K3" s="37">
        <v>3.0769230769230771</v>
      </c>
      <c r="L3" s="37">
        <v>5.8376383763837643</v>
      </c>
      <c r="M3" s="37">
        <v>5.8321167883211675</v>
      </c>
      <c r="N3" s="37">
        <v>2.656603773584906</v>
      </c>
      <c r="O3" s="37">
        <v>5.8458333333333332</v>
      </c>
      <c r="P3" s="37">
        <v>6.3772727272727261</v>
      </c>
      <c r="Q3" s="37">
        <v>6.3772727272727261</v>
      </c>
      <c r="R3" s="37">
        <v>6.4133858267716528</v>
      </c>
      <c r="S3" s="37">
        <v>6.4133858267716528</v>
      </c>
      <c r="T3" s="37">
        <v>3.9917355371900829</v>
      </c>
      <c r="U3" s="37">
        <v>3.9917355371900829</v>
      </c>
    </row>
    <row r="4" spans="1:21" ht="15.6">
      <c r="A4" s="7" t="s">
        <v>3</v>
      </c>
      <c r="B4" s="37">
        <v>15.326633165829147</v>
      </c>
      <c r="C4" s="37">
        <v>16.85301204819277</v>
      </c>
      <c r="D4" s="37">
        <v>14.498845265588914</v>
      </c>
      <c r="E4" s="37">
        <v>16.45945945945946</v>
      </c>
      <c r="F4" s="37">
        <v>15.078651685393259</v>
      </c>
      <c r="G4" s="37">
        <v>15.730434782608697</v>
      </c>
      <c r="H4" s="37">
        <v>15.657563025210083</v>
      </c>
      <c r="I4" s="37">
        <v>16.24966026014366</v>
      </c>
      <c r="J4" s="37">
        <v>16.880928950993898</v>
      </c>
      <c r="K4" s="37">
        <v>17.265131328511611</v>
      </c>
      <c r="L4" s="37">
        <v>17.274168297455969</v>
      </c>
      <c r="M4" s="37">
        <v>17.671237820281487</v>
      </c>
      <c r="N4" s="37">
        <v>16.665510948905109</v>
      </c>
      <c r="O4" s="37">
        <v>18.282669322709161</v>
      </c>
      <c r="P4" s="37">
        <v>18.335288169868551</v>
      </c>
      <c r="Q4" s="37">
        <v>18.651701517015169</v>
      </c>
      <c r="R4" s="37">
        <v>18.995371164066519</v>
      </c>
      <c r="S4" s="37">
        <v>18.999318685062171</v>
      </c>
      <c r="T4" s="37">
        <v>18.984589676940214</v>
      </c>
      <c r="U4" s="37">
        <v>18.984589676940214</v>
      </c>
    </row>
    <row r="5" spans="1:21" ht="15.6">
      <c r="A5" s="7" t="s">
        <v>4</v>
      </c>
      <c r="B5" s="37">
        <v>34.586466165413533</v>
      </c>
      <c r="C5" s="37">
        <v>34.507194244604314</v>
      </c>
      <c r="D5" s="37">
        <v>44.027586206896551</v>
      </c>
      <c r="E5" s="37">
        <v>44.453074433656958</v>
      </c>
      <c r="F5" s="37">
        <v>45.565079365079363</v>
      </c>
      <c r="G5" s="37">
        <v>49.256493506493506</v>
      </c>
      <c r="H5" s="37">
        <v>49.529780564263326</v>
      </c>
      <c r="I5" s="37">
        <v>51.494555353901994</v>
      </c>
      <c r="J5" s="37">
        <v>41.847274846983382</v>
      </c>
      <c r="K5" s="37">
        <v>44.067551963048501</v>
      </c>
      <c r="L5" s="37">
        <v>44.117816091954026</v>
      </c>
      <c r="M5" s="37">
        <v>44.115220483641544</v>
      </c>
      <c r="N5" s="37">
        <v>39.670170454545456</v>
      </c>
      <c r="O5" s="37">
        <v>45.473714285714287</v>
      </c>
      <c r="P5" s="37">
        <v>39.192164712610811</v>
      </c>
      <c r="Q5" s="37">
        <v>45.655719139297844</v>
      </c>
      <c r="R5" s="37">
        <v>46.191269655010565</v>
      </c>
      <c r="S5" s="37">
        <v>45.468920145190566</v>
      </c>
      <c r="T5" s="37">
        <v>44.996015936254977</v>
      </c>
      <c r="U5" s="37">
        <v>44.997891777933944</v>
      </c>
    </row>
    <row r="6" spans="1:21" ht="15.6">
      <c r="A6" s="7" t="s">
        <v>5</v>
      </c>
      <c r="B6" s="37">
        <v>18.75</v>
      </c>
      <c r="C6" s="37">
        <v>19.781512605042018</v>
      </c>
      <c r="D6" s="37">
        <v>24.417322834645674</v>
      </c>
      <c r="E6" s="37">
        <v>26.223134328358206</v>
      </c>
      <c r="F6" s="37">
        <v>26.387234042553192</v>
      </c>
      <c r="G6" s="37">
        <v>27.381294964028779</v>
      </c>
      <c r="H6" s="37">
        <v>26.535810810810812</v>
      </c>
      <c r="I6" s="37">
        <v>22.130620985010705</v>
      </c>
      <c r="J6" s="37">
        <v>23.992784992784994</v>
      </c>
      <c r="K6" s="37">
        <v>24.123188405797102</v>
      </c>
      <c r="L6" s="37">
        <v>22.803571428571427</v>
      </c>
      <c r="M6" s="37">
        <v>22.872135994087213</v>
      </c>
      <c r="N6" s="37">
        <v>27.218248175182481</v>
      </c>
      <c r="O6" s="37">
        <v>22.948880597014924</v>
      </c>
      <c r="P6" s="37">
        <v>23.370298565335403</v>
      </c>
      <c r="Q6" s="37">
        <v>23.86756316218419</v>
      </c>
      <c r="R6" s="37">
        <v>23.561396468699837</v>
      </c>
      <c r="S6" s="37">
        <v>24.048492257538712</v>
      </c>
      <c r="T6" s="37">
        <v>24.109995817649519</v>
      </c>
      <c r="U6" s="37">
        <v>24.109995817649519</v>
      </c>
    </row>
    <row r="7" spans="1:21" ht="15.6">
      <c r="A7" s="7" t="s">
        <v>25</v>
      </c>
      <c r="B7" s="37">
        <v>41.315240083507305</v>
      </c>
      <c r="C7" s="37">
        <v>49.383399209486171</v>
      </c>
      <c r="D7" s="37">
        <v>63.531835205992508</v>
      </c>
      <c r="E7" s="37">
        <v>58.743421052631582</v>
      </c>
      <c r="F7" s="37">
        <v>61.06300484652666</v>
      </c>
      <c r="G7" s="37">
        <v>62.645669291338585</v>
      </c>
      <c r="H7" s="37">
        <v>62.562596599690885</v>
      </c>
      <c r="I7" s="37">
        <v>64.090252196089537</v>
      </c>
      <c r="J7" s="37">
        <v>63.541203007518796</v>
      </c>
      <c r="K7" s="37">
        <v>63.541203007518796</v>
      </c>
      <c r="L7" s="37">
        <v>64.701190292162636</v>
      </c>
      <c r="M7" s="37">
        <v>64.701190292162636</v>
      </c>
      <c r="N7" s="37">
        <v>68.699231950844862</v>
      </c>
      <c r="O7" s="37">
        <v>67.112227074235804</v>
      </c>
      <c r="P7" s="37">
        <v>66.544722461892434</v>
      </c>
      <c r="Q7" s="37">
        <v>65.933344583192707</v>
      </c>
      <c r="R7" s="37">
        <v>66.093526377101014</v>
      </c>
      <c r="S7" s="37">
        <v>65.916666666666671</v>
      </c>
      <c r="T7" s="37">
        <v>67.20375335120643</v>
      </c>
      <c r="U7" s="37">
        <v>67.2</v>
      </c>
    </row>
    <row r="8" spans="1:21" ht="15.6">
      <c r="A8" s="7" t="s">
        <v>6</v>
      </c>
      <c r="B8" s="37">
        <v>1.714285714285714</v>
      </c>
      <c r="C8" s="37">
        <v>1.5</v>
      </c>
      <c r="D8" s="37">
        <v>3.6249999999999996</v>
      </c>
      <c r="E8" s="37">
        <v>3.666666666666667</v>
      </c>
      <c r="F8" s="37">
        <v>3.8888888888888888</v>
      </c>
      <c r="G8" s="37">
        <v>3.4999999999999996</v>
      </c>
      <c r="H8" s="37">
        <v>3.6999999999999997</v>
      </c>
      <c r="I8" s="37">
        <v>4.3333333333333339</v>
      </c>
      <c r="J8" s="37">
        <v>3.2222222222222223</v>
      </c>
      <c r="K8" s="37">
        <v>4.666666666666667</v>
      </c>
      <c r="L8" s="37">
        <v>4.666666666666667</v>
      </c>
      <c r="M8" s="37">
        <v>3.8888888888888888</v>
      </c>
      <c r="N8" s="37">
        <v>3.8888888888888888</v>
      </c>
      <c r="O8" s="37">
        <v>3.125</v>
      </c>
      <c r="P8" s="37">
        <v>2.5714285714285712</v>
      </c>
      <c r="Q8" s="37">
        <v>1.714285714285714</v>
      </c>
      <c r="R8" s="37">
        <v>1</v>
      </c>
      <c r="S8" s="37">
        <v>1.6666666666666667</v>
      </c>
      <c r="T8" s="37">
        <v>1.8333333333333335</v>
      </c>
      <c r="U8" s="37">
        <v>3.5</v>
      </c>
    </row>
    <row r="9" spans="1:21" ht="15.6">
      <c r="A9" s="7" t="s">
        <v>7</v>
      </c>
      <c r="B9" s="37">
        <v>0.27894736842105267</v>
      </c>
      <c r="C9" s="37">
        <v>0.31428571428571428</v>
      </c>
      <c r="D9" s="37">
        <v>0.39583333333333331</v>
      </c>
      <c r="E9" s="37">
        <v>0.39629629629629631</v>
      </c>
      <c r="F9" s="37">
        <v>0.3896551724137931</v>
      </c>
      <c r="G9" s="37">
        <v>0.39666666666666667</v>
      </c>
      <c r="H9" s="37">
        <v>0.37499999999999994</v>
      </c>
      <c r="I9" s="37">
        <v>2.4230769230769229</v>
      </c>
      <c r="J9" s="37">
        <v>2.3888888888888888</v>
      </c>
      <c r="K9" s="37">
        <v>2.4074074074074074</v>
      </c>
      <c r="L9" s="37">
        <v>2.656025538707103</v>
      </c>
      <c r="M9" s="37">
        <v>3.4889135254988912</v>
      </c>
      <c r="N9" s="37">
        <v>3.958024691358025</v>
      </c>
      <c r="O9" s="37">
        <v>5.282258064516129</v>
      </c>
      <c r="P9" s="37">
        <v>5.545454545454545</v>
      </c>
      <c r="Q9" s="37">
        <v>5.8280141843971629</v>
      </c>
      <c r="R9" s="37">
        <v>5.7915936952714535</v>
      </c>
      <c r="S9" s="37">
        <v>7</v>
      </c>
      <c r="T9" s="37">
        <v>7.1322033898305079</v>
      </c>
      <c r="U9" s="37">
        <v>7.3448873483535539</v>
      </c>
    </row>
    <row r="10" spans="1:21" ht="15.6">
      <c r="A10" s="7" t="s">
        <v>8</v>
      </c>
      <c r="B10" s="37">
        <v>25.473484848484851</v>
      </c>
      <c r="C10" s="37">
        <v>25.254512635379061</v>
      </c>
      <c r="D10" s="37">
        <v>32.654044750430295</v>
      </c>
      <c r="E10" s="37">
        <v>18.756598240469209</v>
      </c>
      <c r="F10" s="37">
        <v>20.424329501915711</v>
      </c>
      <c r="G10" s="37">
        <v>20.704174228675136</v>
      </c>
      <c r="H10" s="37">
        <v>21.033094812164581</v>
      </c>
      <c r="I10" s="37">
        <v>25.97125256673511</v>
      </c>
      <c r="J10" s="37">
        <v>26.050335897186255</v>
      </c>
      <c r="K10" s="37">
        <v>25.427633430259828</v>
      </c>
      <c r="L10" s="37">
        <v>24.53637586670806</v>
      </c>
      <c r="M10" s="37">
        <v>24.519846350832267</v>
      </c>
      <c r="N10" s="37">
        <v>23.012845849802371</v>
      </c>
      <c r="O10" s="37">
        <v>21.275718533201186</v>
      </c>
      <c r="P10" s="37">
        <v>25.675933202357562</v>
      </c>
      <c r="Q10" s="37">
        <v>26.154628766697734</v>
      </c>
      <c r="R10" s="37">
        <v>26.459580376427031</v>
      </c>
      <c r="S10" s="37">
        <v>27.451758840365617</v>
      </c>
      <c r="T10" s="37">
        <v>28.589468864468863</v>
      </c>
      <c r="U10" s="37">
        <v>27.322030190330345</v>
      </c>
    </row>
    <row r="11" spans="1:21" ht="15.6">
      <c r="A11" s="7" t="s">
        <v>9</v>
      </c>
      <c r="B11" s="37">
        <v>7.4074074074074074</v>
      </c>
      <c r="C11" s="37">
        <v>7.6396551724137938</v>
      </c>
      <c r="D11" s="37">
        <v>6.5431472081218267</v>
      </c>
      <c r="E11" s="37">
        <v>8.5053956834532372</v>
      </c>
      <c r="F11" s="37">
        <v>7.1263157894736837</v>
      </c>
      <c r="G11" s="37">
        <v>7.8051393728222997</v>
      </c>
      <c r="H11" s="37">
        <v>8.3446337308347527</v>
      </c>
      <c r="I11" s="37">
        <v>8.4512375020488442</v>
      </c>
      <c r="J11" s="37">
        <v>15.328206616366803</v>
      </c>
      <c r="K11" s="37">
        <v>9.7911392405063289</v>
      </c>
      <c r="L11" s="37">
        <v>15.283940397350994</v>
      </c>
      <c r="M11" s="37">
        <v>15.018157281315176</v>
      </c>
      <c r="N11" s="37">
        <v>13.483855421686748</v>
      </c>
      <c r="O11" s="37">
        <v>6.9943674176776423</v>
      </c>
      <c r="P11" s="37">
        <v>8.1735968514715953</v>
      </c>
      <c r="Q11" s="37">
        <v>8.6019234226136962</v>
      </c>
      <c r="R11" s="37">
        <v>8.6331747919143869</v>
      </c>
      <c r="S11" s="37">
        <v>8.6142829115165789</v>
      </c>
      <c r="T11" s="37">
        <v>4.6632812499999998</v>
      </c>
      <c r="U11" s="37">
        <v>10.118873826903023</v>
      </c>
    </row>
    <row r="12" spans="1:21" ht="15.6">
      <c r="A12" s="7" t="s">
        <v>10</v>
      </c>
      <c r="B12" s="37">
        <v>59.523809523809526</v>
      </c>
      <c r="C12" s="37">
        <v>44.608695652173914</v>
      </c>
      <c r="D12" s="37">
        <v>85.624161073825505</v>
      </c>
      <c r="E12" s="37">
        <v>47.255520504731862</v>
      </c>
      <c r="F12" s="37">
        <v>44.236363636363635</v>
      </c>
      <c r="G12" s="37">
        <v>46.601626016260163</v>
      </c>
      <c r="H12" s="37">
        <v>36.199475065616795</v>
      </c>
      <c r="I12" s="37">
        <v>66.032608695652172</v>
      </c>
      <c r="J12" s="37">
        <v>66.044918157594211</v>
      </c>
      <c r="K12" s="37">
        <v>65.2158273381295</v>
      </c>
      <c r="L12" s="37">
        <v>62.012345679012341</v>
      </c>
      <c r="M12" s="37">
        <v>67.745372274784046</v>
      </c>
      <c r="N12" s="37">
        <v>73.068924302788844</v>
      </c>
      <c r="O12" s="37">
        <v>70.997318007662827</v>
      </c>
      <c r="P12" s="37">
        <v>69.355855855855864</v>
      </c>
      <c r="Q12" s="37">
        <v>68.70624151967435</v>
      </c>
      <c r="R12" s="37">
        <v>68.836228287841195</v>
      </c>
      <c r="S12" s="37">
        <v>59.99417588817704</v>
      </c>
      <c r="T12" s="37">
        <v>72.277761413843876</v>
      </c>
      <c r="U12" s="37">
        <v>70.644106681961574</v>
      </c>
    </row>
    <row r="13" spans="1:21" ht="15.6">
      <c r="A13" s="7" t="s">
        <v>11</v>
      </c>
      <c r="B13" s="37">
        <v>67.284866468842722</v>
      </c>
      <c r="C13" s="37">
        <v>65.648148148148152</v>
      </c>
      <c r="D13" s="37">
        <v>36.784741144414163</v>
      </c>
      <c r="E13" s="37">
        <v>59.75903614457831</v>
      </c>
      <c r="F13" s="37">
        <v>54.488235294117644</v>
      </c>
      <c r="G13" s="37">
        <v>53.453416149068325</v>
      </c>
      <c r="H13" s="37">
        <v>52.621951219512198</v>
      </c>
      <c r="I13" s="37">
        <v>43.902439024390247</v>
      </c>
      <c r="J13" s="37">
        <v>58.2</v>
      </c>
      <c r="K13" s="37">
        <v>58.032458000326208</v>
      </c>
      <c r="L13" s="37">
        <v>43.496046010064703</v>
      </c>
      <c r="M13" s="37">
        <v>41.142072844134972</v>
      </c>
      <c r="N13" s="37">
        <v>55.900000000000006</v>
      </c>
      <c r="O13" s="37">
        <v>46.997361477572561</v>
      </c>
      <c r="P13" s="37">
        <v>53.985573173901741</v>
      </c>
      <c r="Q13" s="37">
        <v>50.119273676714926</v>
      </c>
      <c r="R13" s="37">
        <v>54.342480911807016</v>
      </c>
      <c r="S13" s="37">
        <v>55.639438291139243</v>
      </c>
      <c r="T13" s="37">
        <v>63.133816425120777</v>
      </c>
      <c r="U13" s="37">
        <v>58.617317982811734</v>
      </c>
    </row>
    <row r="14" spans="1:21" ht="15.6">
      <c r="A14" s="7" t="s">
        <v>12</v>
      </c>
      <c r="B14" s="37">
        <v>7</v>
      </c>
      <c r="C14" s="37">
        <v>7.0754716981132075</v>
      </c>
      <c r="D14" s="37">
        <v>11.803571428571429</v>
      </c>
      <c r="E14" s="37">
        <v>12.28688524590164</v>
      </c>
      <c r="F14" s="37">
        <v>12.399999999999999</v>
      </c>
      <c r="G14" s="37">
        <v>2.4867378048780489</v>
      </c>
      <c r="H14" s="37">
        <v>2.4857566765578634</v>
      </c>
      <c r="I14" s="37">
        <v>13.401215805471125</v>
      </c>
      <c r="J14" s="37">
        <v>13.5</v>
      </c>
      <c r="K14" s="37">
        <v>13.746077032810271</v>
      </c>
      <c r="L14" s="37">
        <v>13.517985611510792</v>
      </c>
      <c r="M14" s="37">
        <v>13.512781954887217</v>
      </c>
      <c r="N14" s="37">
        <v>14.163636363636366</v>
      </c>
      <c r="O14" s="37">
        <v>14.058461538461538</v>
      </c>
      <c r="P14" s="37">
        <v>14.210526315789473</v>
      </c>
      <c r="Q14" s="37">
        <v>14.320388349514564</v>
      </c>
      <c r="R14" s="37">
        <v>14.367109634551495</v>
      </c>
      <c r="S14" s="37">
        <v>14.367109634551495</v>
      </c>
      <c r="T14" s="37">
        <v>19.904</v>
      </c>
      <c r="U14" s="37">
        <v>13.302287581699346</v>
      </c>
    </row>
    <row r="15" spans="1:21" ht="15.6">
      <c r="A15" s="7" t="s">
        <v>13</v>
      </c>
      <c r="B15" s="37">
        <v>13.888888888888888</v>
      </c>
      <c r="C15" s="37">
        <v>14.456140350877194</v>
      </c>
      <c r="D15" s="37">
        <v>10.5</v>
      </c>
      <c r="E15" s="37">
        <v>10.816666666666668</v>
      </c>
      <c r="F15" s="37">
        <v>11.116176470588236</v>
      </c>
      <c r="G15" s="37">
        <v>13.873214285714287</v>
      </c>
      <c r="H15" s="37">
        <v>13.756896551724139</v>
      </c>
      <c r="I15" s="37">
        <v>12.067528735632184</v>
      </c>
      <c r="J15" s="37">
        <v>12.276988636363637</v>
      </c>
      <c r="K15" s="37">
        <v>12.492957746478874</v>
      </c>
      <c r="L15" s="37">
        <v>12.476793248945146</v>
      </c>
      <c r="M15" s="37">
        <v>13.027624309392264</v>
      </c>
      <c r="N15" s="37">
        <v>13.365517241379312</v>
      </c>
      <c r="O15" s="37">
        <v>12.975342465753425</v>
      </c>
      <c r="P15" s="37">
        <v>13.021978021978022</v>
      </c>
      <c r="Q15" s="37">
        <v>13.015068493150686</v>
      </c>
      <c r="R15" s="37">
        <v>12.917789757412399</v>
      </c>
      <c r="S15" s="37">
        <v>12.931788931788933</v>
      </c>
      <c r="T15" s="37">
        <v>12.934508816120907</v>
      </c>
      <c r="U15" s="37">
        <v>12.940880503144653</v>
      </c>
    </row>
    <row r="16" spans="1:21" ht="15.6">
      <c r="A16" s="7" t="s">
        <v>14</v>
      </c>
      <c r="B16" s="37">
        <v>21.978021978021978</v>
      </c>
      <c r="C16" s="37">
        <v>22.904255319148938</v>
      </c>
      <c r="D16" s="37">
        <v>9.7551020408163254</v>
      </c>
      <c r="E16" s="37">
        <v>10.524271844660195</v>
      </c>
      <c r="F16" s="37">
        <v>10.828301886792453</v>
      </c>
      <c r="G16" s="37">
        <v>12.161340206185569</v>
      </c>
      <c r="H16" s="37">
        <v>12.115</v>
      </c>
      <c r="I16" s="37">
        <v>12.099620493358636</v>
      </c>
      <c r="J16" s="37">
        <v>12.999999999999998</v>
      </c>
      <c r="K16" s="37">
        <v>13.043750000000001</v>
      </c>
      <c r="L16" s="37">
        <v>12.926672777268561</v>
      </c>
      <c r="M16" s="37">
        <v>12.892138939670932</v>
      </c>
      <c r="N16" s="37">
        <v>13.076363636363636</v>
      </c>
      <c r="O16" s="37">
        <v>12.842857142857143</v>
      </c>
      <c r="P16" s="37">
        <v>12.292213473315837</v>
      </c>
      <c r="Q16" s="37">
        <v>12.292213473315837</v>
      </c>
      <c r="R16" s="37">
        <v>12.029109589041097</v>
      </c>
      <c r="S16" s="37">
        <v>12.029109589041097</v>
      </c>
      <c r="T16" s="37">
        <v>12.029109589041097</v>
      </c>
      <c r="U16" s="37">
        <v>12.029109589041097</v>
      </c>
    </row>
    <row r="17" spans="1:21" ht="15.6">
      <c r="A17" s="7" t="s">
        <v>15</v>
      </c>
      <c r="B17" s="37">
        <v>10.714285714285715</v>
      </c>
      <c r="C17" s="37">
        <v>11.389830508474576</v>
      </c>
      <c r="D17" s="37">
        <v>9.67741935483871</v>
      </c>
      <c r="E17" s="37">
        <v>10.303030303030303</v>
      </c>
      <c r="F17" s="37">
        <v>10.434782608695652</v>
      </c>
      <c r="G17" s="37">
        <v>11.935483870967742</v>
      </c>
      <c r="H17" s="37">
        <v>12.258064516129032</v>
      </c>
      <c r="I17" s="37">
        <v>11.428571428571429</v>
      </c>
      <c r="J17" s="37">
        <v>14.999999999999998</v>
      </c>
      <c r="K17" s="37">
        <v>14.999999999999998</v>
      </c>
      <c r="L17" s="37">
        <v>14.966896551724139</v>
      </c>
      <c r="M17" s="37">
        <v>15.901907356948229</v>
      </c>
      <c r="N17" s="37">
        <v>16.032876712328768</v>
      </c>
      <c r="O17" s="37">
        <v>12.422857142857142</v>
      </c>
      <c r="P17" s="37">
        <v>12.660869565217391</v>
      </c>
      <c r="Q17" s="37">
        <v>12.576368876080691</v>
      </c>
      <c r="R17" s="37">
        <v>12.374285714285715</v>
      </c>
      <c r="S17" s="37">
        <v>13.091160220994475</v>
      </c>
      <c r="T17" s="37">
        <v>13.063273727647868</v>
      </c>
      <c r="U17" s="37">
        <v>13.050684931506849</v>
      </c>
    </row>
    <row r="18" spans="1:21" ht="15.6">
      <c r="A18" s="7" t="s">
        <v>16</v>
      </c>
      <c r="B18" s="37">
        <v>13.861386138613861</v>
      </c>
      <c r="C18" s="37">
        <v>14.293838862559241</v>
      </c>
      <c r="D18" s="37">
        <v>17.608108108108109</v>
      </c>
      <c r="E18" s="37">
        <v>17.867338709677419</v>
      </c>
      <c r="F18" s="37">
        <v>18.544664031620552</v>
      </c>
      <c r="G18" s="37">
        <v>18.941860465116278</v>
      </c>
      <c r="H18" s="37">
        <v>18.817843866171003</v>
      </c>
      <c r="I18" s="37">
        <v>18.963623135685705</v>
      </c>
      <c r="J18" s="37">
        <v>19.018355945730249</v>
      </c>
      <c r="K18" s="37">
        <v>18.91346542660736</v>
      </c>
      <c r="L18" s="37">
        <v>18.909276665304454</v>
      </c>
      <c r="M18" s="37">
        <v>19.053491220906494</v>
      </c>
      <c r="N18" s="37">
        <v>18.511111111111109</v>
      </c>
      <c r="O18" s="37">
        <v>17.692207792207792</v>
      </c>
      <c r="P18" s="37">
        <v>21.322594880847308</v>
      </c>
      <c r="Q18" s="37">
        <v>21.297331639135958</v>
      </c>
      <c r="R18" s="37">
        <v>21.294465568229825</v>
      </c>
      <c r="S18" s="37">
        <v>21.268354430379748</v>
      </c>
      <c r="T18" s="37">
        <v>21.599575371549893</v>
      </c>
      <c r="U18" s="37">
        <v>21.599575371549893</v>
      </c>
    </row>
    <row r="19" spans="1:21" ht="15.6">
      <c r="A19" s="7" t="s">
        <v>17</v>
      </c>
      <c r="B19" s="37">
        <v>38.46153846153846</v>
      </c>
      <c r="C19" s="37">
        <v>41.428571428571423</v>
      </c>
      <c r="D19" s="37">
        <v>48.666666666666664</v>
      </c>
      <c r="E19" s="37">
        <v>52</v>
      </c>
      <c r="F19" s="37">
        <v>51.823529411764703</v>
      </c>
      <c r="G19" s="37">
        <v>47.657894736842103</v>
      </c>
      <c r="H19" s="37">
        <v>46.5</v>
      </c>
      <c r="I19" s="37">
        <v>57.588235294117638</v>
      </c>
      <c r="J19" s="37">
        <v>58.25</v>
      </c>
      <c r="K19" s="37">
        <v>55.470588235294109</v>
      </c>
      <c r="L19" s="37">
        <v>58.454545454545453</v>
      </c>
      <c r="M19" s="37">
        <v>56</v>
      </c>
      <c r="N19" s="37">
        <v>47.909090909090907</v>
      </c>
      <c r="O19" s="37">
        <v>49</v>
      </c>
      <c r="P19" s="37">
        <v>56.8</v>
      </c>
      <c r="Q19" s="37">
        <v>60.333333333333343</v>
      </c>
      <c r="R19" s="37">
        <v>59.78947368421052</v>
      </c>
      <c r="S19" s="37">
        <v>61.89473684210526</v>
      </c>
      <c r="T19" s="37">
        <v>69.15789473684211</v>
      </c>
      <c r="U19" s="37">
        <v>61.208333333333336</v>
      </c>
    </row>
    <row r="20" spans="1:21" ht="15.6">
      <c r="A20" s="7" t="s">
        <v>18</v>
      </c>
      <c r="B20" s="37">
        <v>25</v>
      </c>
      <c r="C20" s="37">
        <v>35</v>
      </c>
      <c r="D20" s="37">
        <v>13.4</v>
      </c>
      <c r="E20" s="37">
        <v>15.2</v>
      </c>
      <c r="F20" s="37">
        <v>16</v>
      </c>
      <c r="G20" s="37">
        <v>9.1666666666666661</v>
      </c>
      <c r="H20" s="37">
        <v>8.5</v>
      </c>
      <c r="I20" s="37">
        <v>22.25</v>
      </c>
      <c r="J20" s="37">
        <v>16</v>
      </c>
      <c r="K20" s="37">
        <v>1</v>
      </c>
      <c r="L20" s="37">
        <v>13.666666666666666</v>
      </c>
      <c r="M20" s="37">
        <v>10.25</v>
      </c>
      <c r="N20" s="37">
        <v>17</v>
      </c>
      <c r="O20" s="37">
        <v>24.666666666666668</v>
      </c>
      <c r="P20" s="37">
        <v>9.0000000000000018</v>
      </c>
      <c r="Q20" s="37">
        <v>10.25</v>
      </c>
      <c r="R20" s="37">
        <v>13.000000000000002</v>
      </c>
      <c r="S20" s="37">
        <v>8.25</v>
      </c>
      <c r="T20" s="37">
        <v>8.25</v>
      </c>
      <c r="U20" s="37">
        <v>8.75</v>
      </c>
    </row>
    <row r="21" spans="1:21" ht="15.6">
      <c r="A21" s="7" t="s">
        <v>19</v>
      </c>
      <c r="B21" s="37">
        <v>3.333333333333333</v>
      </c>
      <c r="C21" s="37">
        <v>3.2</v>
      </c>
      <c r="D21" s="37">
        <v>2.6545454545454543</v>
      </c>
      <c r="E21" s="37">
        <v>2.546153846153846</v>
      </c>
      <c r="F21" s="37">
        <v>2.5</v>
      </c>
      <c r="G21" s="37">
        <v>2.5714285714285716</v>
      </c>
      <c r="H21" s="37">
        <v>2.4666666666666668</v>
      </c>
      <c r="I21" s="37">
        <v>2.4012345679012346</v>
      </c>
      <c r="J21" s="37">
        <v>2.386503067484663</v>
      </c>
      <c r="K21" s="37">
        <v>2.3918128654970761</v>
      </c>
      <c r="L21" s="37">
        <v>3.0956521739130438</v>
      </c>
      <c r="M21" s="37">
        <v>3.2250000000000001</v>
      </c>
      <c r="N21" s="37">
        <v>3.040983606557377</v>
      </c>
      <c r="O21" s="37">
        <v>3</v>
      </c>
      <c r="P21" s="37">
        <v>2.9069767441860463</v>
      </c>
      <c r="Q21" s="37">
        <v>4.2538461538461538</v>
      </c>
      <c r="R21" s="37">
        <v>4.2615384615384615</v>
      </c>
      <c r="S21" s="37">
        <v>4.2692307692307692</v>
      </c>
      <c r="T21" s="37">
        <v>4.2692307692307692</v>
      </c>
      <c r="U21" s="37">
        <v>4.2442748091603049</v>
      </c>
    </row>
    <row r="22" spans="1:21" ht="15.6">
      <c r="A22" s="7" t="s">
        <v>20</v>
      </c>
      <c r="B22" s="37">
        <v>35.950155763239877</v>
      </c>
      <c r="C22" s="37">
        <v>46.662650602409641</v>
      </c>
      <c r="D22" s="37">
        <v>37.692759295499016</v>
      </c>
      <c r="E22" s="37">
        <v>39.860559566786996</v>
      </c>
      <c r="F22" s="37">
        <v>43.80738786279683</v>
      </c>
      <c r="G22" s="37">
        <v>42.319567851373186</v>
      </c>
      <c r="H22" s="37">
        <v>43.839114832535884</v>
      </c>
      <c r="I22" s="37">
        <v>46.12248563218391</v>
      </c>
      <c r="J22" s="37">
        <v>47.865130464249404</v>
      </c>
      <c r="K22" s="37">
        <v>40.271322520777858</v>
      </c>
      <c r="L22" s="37">
        <v>45.784272275657962</v>
      </c>
      <c r="M22" s="37">
        <v>38.327508158753552</v>
      </c>
      <c r="N22" s="37">
        <v>34.023779193205947</v>
      </c>
      <c r="O22" s="37">
        <v>33.727807486631015</v>
      </c>
      <c r="P22" s="37">
        <v>43.141759549832273</v>
      </c>
      <c r="Q22" s="37">
        <v>39.898095043015161</v>
      </c>
      <c r="R22" s="37">
        <v>38.689402094138373</v>
      </c>
      <c r="S22" s="37">
        <v>41.351558928408153</v>
      </c>
      <c r="T22" s="37">
        <v>43.662812210915817</v>
      </c>
      <c r="U22" s="37">
        <v>42.741831489065085</v>
      </c>
    </row>
    <row r="23" spans="1:21" ht="15.6">
      <c r="A23" s="7" t="s">
        <v>21</v>
      </c>
      <c r="B23" s="37">
        <v>44.117647058823529</v>
      </c>
      <c r="C23" s="37">
        <v>50.838235294117645</v>
      </c>
      <c r="D23" s="37">
        <v>14.75</v>
      </c>
      <c r="E23" s="37">
        <v>16.713235294117649</v>
      </c>
      <c r="F23" s="37">
        <v>16.947887323943661</v>
      </c>
      <c r="G23" s="37">
        <v>16.273026315789473</v>
      </c>
      <c r="H23" s="37">
        <v>15.8775</v>
      </c>
      <c r="I23" s="37">
        <v>15.916666666666664</v>
      </c>
      <c r="J23" s="37">
        <v>35.016260162601633</v>
      </c>
      <c r="K23" s="37">
        <v>30.622576966932726</v>
      </c>
      <c r="L23" s="37">
        <v>39.505376344086017</v>
      </c>
      <c r="M23" s="37">
        <v>37.082474226804123</v>
      </c>
      <c r="N23" s="37">
        <v>25.72</v>
      </c>
      <c r="O23" s="37">
        <v>33.921875</v>
      </c>
      <c r="P23" s="37">
        <v>40.105726872246699</v>
      </c>
      <c r="Q23" s="37">
        <v>45.716894977168955</v>
      </c>
      <c r="R23" s="37">
        <v>36.459227467811161</v>
      </c>
      <c r="S23" s="37">
        <v>47.65652173913044</v>
      </c>
      <c r="T23" s="37">
        <v>43.969298245614041</v>
      </c>
      <c r="U23" s="37">
        <v>40.808743169398909</v>
      </c>
    </row>
    <row r="24" spans="1:21" ht="15.6">
      <c r="A24" s="7" t="s">
        <v>22</v>
      </c>
      <c r="B24" s="37">
        <v>9.3137254901960791</v>
      </c>
      <c r="C24" s="37">
        <v>9.4999999999999982</v>
      </c>
      <c r="D24" s="37">
        <v>7.2608695652173916</v>
      </c>
      <c r="E24" s="37">
        <v>7.6306451612903228</v>
      </c>
      <c r="F24" s="37">
        <v>7.7069230769230765</v>
      </c>
      <c r="G24" s="37">
        <v>13.914864864864864</v>
      </c>
      <c r="H24" s="37">
        <v>13.557692307692308</v>
      </c>
      <c r="I24" s="37">
        <v>9.8453608247422668</v>
      </c>
      <c r="J24" s="37">
        <v>9.8423753665689144</v>
      </c>
      <c r="K24" s="37">
        <v>5.2785923753665687</v>
      </c>
      <c r="L24" s="37">
        <v>10.507523939808483</v>
      </c>
      <c r="M24" s="37">
        <v>10.510020732550105</v>
      </c>
      <c r="N24" s="37">
        <v>7.65034965034965</v>
      </c>
      <c r="O24" s="37">
        <v>9.9563636363636352</v>
      </c>
      <c r="P24" s="37">
        <v>10.341463414634145</v>
      </c>
      <c r="Q24" s="37">
        <v>10.335813953488373</v>
      </c>
      <c r="R24" s="37">
        <v>10.343632958801498</v>
      </c>
      <c r="S24" s="37">
        <v>9.7874892887746352</v>
      </c>
      <c r="T24" s="37">
        <v>9.7893835616438363</v>
      </c>
      <c r="U24" s="37">
        <v>9.7893835616438363</v>
      </c>
    </row>
    <row r="25" spans="1:21" ht="15.6">
      <c r="A25" s="7" t="s">
        <v>23</v>
      </c>
      <c r="B25" s="37">
        <v>44.176706827309239</v>
      </c>
      <c r="C25" s="37">
        <v>44.670498084291189</v>
      </c>
      <c r="D25" s="37">
        <v>29.503649635036496</v>
      </c>
      <c r="E25" s="37">
        <v>30.950337837837836</v>
      </c>
      <c r="F25" s="37">
        <v>37.453947368421055</v>
      </c>
      <c r="G25" s="37">
        <v>43.144230769230766</v>
      </c>
      <c r="H25" s="37">
        <v>31.60216049382716</v>
      </c>
      <c r="I25" s="37">
        <v>472.90212765957443</v>
      </c>
      <c r="J25" s="37">
        <v>42.915190552871714</v>
      </c>
      <c r="K25" s="37">
        <v>46.732630570196449</v>
      </c>
      <c r="L25" s="37">
        <v>45.689701492537317</v>
      </c>
      <c r="M25" s="37">
        <v>45.678486646884267</v>
      </c>
      <c r="N25" s="37">
        <v>45.645035971223024</v>
      </c>
      <c r="O25" s="37">
        <v>45.516525423728815</v>
      </c>
      <c r="P25" s="37">
        <v>45.903567984570877</v>
      </c>
      <c r="Q25" s="37">
        <v>45.913662239089184</v>
      </c>
      <c r="R25" s="37">
        <v>45.911318711075012</v>
      </c>
      <c r="S25" s="37">
        <v>44.900478149671962</v>
      </c>
      <c r="T25" s="37">
        <v>46.524417314095459</v>
      </c>
      <c r="U25" s="37">
        <v>51.000535963125735</v>
      </c>
    </row>
    <row r="26" spans="1:21" ht="15.6">
      <c r="A26" s="7" t="s">
        <v>24</v>
      </c>
      <c r="B26" s="37">
        <v>27.874564459930316</v>
      </c>
      <c r="C26" s="37">
        <v>25.062913907284766</v>
      </c>
      <c r="D26" s="37">
        <v>23.876971608832807</v>
      </c>
      <c r="E26" s="37">
        <v>24.154430379746834</v>
      </c>
      <c r="F26" s="37">
        <v>23.956097560975611</v>
      </c>
      <c r="G26" s="37">
        <v>24.69682151589242</v>
      </c>
      <c r="H26" s="37">
        <v>25.095238095238095</v>
      </c>
      <c r="I26" s="37">
        <v>24.111856823266216</v>
      </c>
      <c r="J26" s="37">
        <v>24.12087912087912</v>
      </c>
      <c r="K26" s="37">
        <v>24.12017167381974</v>
      </c>
      <c r="L26" s="37">
        <v>24.38818389848138</v>
      </c>
      <c r="M26" s="37">
        <v>24.4</v>
      </c>
      <c r="N26" s="37">
        <v>24.291497975708502</v>
      </c>
      <c r="O26" s="37">
        <v>24.563253012048193</v>
      </c>
      <c r="P26" s="37">
        <v>22.442044779076681</v>
      </c>
      <c r="Q26" s="37">
        <v>21.635852713178295</v>
      </c>
      <c r="R26" s="37">
        <v>21.84627949183303</v>
      </c>
      <c r="S26" s="37">
        <v>21.736454336147354</v>
      </c>
      <c r="T26" s="37">
        <v>23.841225165562914</v>
      </c>
      <c r="U26" s="37">
        <v>21.895419847328245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>
      <selection sqref="A1:B26"/>
    </sheetView>
  </sheetViews>
  <sheetFormatPr defaultRowHeight="14.4"/>
  <cols>
    <col min="1" max="1" width="18.21875" customWidth="1"/>
    <col min="7" max="7" width="18.6640625" customWidth="1"/>
  </cols>
  <sheetData>
    <row r="1" spans="1:2">
      <c r="A1" s="5" t="s">
        <v>0</v>
      </c>
      <c r="B1" s="6">
        <v>2024</v>
      </c>
    </row>
    <row r="2" spans="1:2" ht="15.6">
      <c r="A2" s="7" t="s">
        <v>1</v>
      </c>
      <c r="B2" s="11">
        <v>6734.44</v>
      </c>
    </row>
    <row r="3" spans="1:2" ht="15.6">
      <c r="A3" s="7" t="s">
        <v>2</v>
      </c>
      <c r="B3" s="11">
        <v>14.49</v>
      </c>
    </row>
    <row r="4" spans="1:2" ht="15.6">
      <c r="A4" s="7" t="s">
        <v>3</v>
      </c>
      <c r="B4" s="11">
        <v>1022.51</v>
      </c>
    </row>
    <row r="5" spans="1:2" ht="15.6">
      <c r="A5" s="7" t="s">
        <v>4</v>
      </c>
      <c r="B5" s="11">
        <v>1920.96</v>
      </c>
    </row>
    <row r="6" spans="1:2" ht="15.6">
      <c r="A6" s="7" t="s">
        <v>5</v>
      </c>
      <c r="B6" s="11">
        <v>576.47</v>
      </c>
    </row>
    <row r="7" spans="1:2" ht="15.6">
      <c r="A7" s="7" t="s">
        <v>25</v>
      </c>
      <c r="B7" s="11">
        <v>4025.28</v>
      </c>
    </row>
    <row r="8" spans="1:2" ht="15.6">
      <c r="A8" s="7" t="s">
        <v>6</v>
      </c>
      <c r="B8" s="11">
        <v>0.21</v>
      </c>
    </row>
    <row r="9" spans="1:2" ht="15.6">
      <c r="A9" s="7" t="s">
        <v>7</v>
      </c>
      <c r="B9" s="11">
        <v>42.38</v>
      </c>
    </row>
    <row r="10" spans="1:2" ht="15.6">
      <c r="A10" s="7" t="s">
        <v>8</v>
      </c>
      <c r="B10" s="11">
        <v>1248.8900000000001</v>
      </c>
    </row>
    <row r="11" spans="1:2" ht="15.6">
      <c r="A11" s="7" t="s">
        <v>9</v>
      </c>
      <c r="B11" s="11">
        <v>485.2</v>
      </c>
    </row>
    <row r="12" spans="1:2" ht="15.6">
      <c r="A12" s="7" t="s">
        <v>10</v>
      </c>
      <c r="B12" s="11">
        <v>2463.36</v>
      </c>
    </row>
    <row r="13" spans="1:2" ht="15.6">
      <c r="A13" s="7" t="s">
        <v>11</v>
      </c>
      <c r="B13" s="11">
        <v>7229.86</v>
      </c>
    </row>
    <row r="14" spans="1:2" ht="15.6">
      <c r="A14" s="7" t="s">
        <v>12</v>
      </c>
      <c r="B14" s="11">
        <v>81.41</v>
      </c>
    </row>
    <row r="15" spans="1:2" ht="15.6">
      <c r="A15" s="7" t="s">
        <v>13</v>
      </c>
      <c r="B15" s="11">
        <v>102.88</v>
      </c>
    </row>
    <row r="16" spans="1:2" ht="15.6">
      <c r="A16" s="7" t="s">
        <v>14</v>
      </c>
      <c r="B16" s="11">
        <v>140.5</v>
      </c>
    </row>
    <row r="17" spans="1:7" ht="15.6">
      <c r="A17" s="7" t="s">
        <v>15</v>
      </c>
      <c r="B17" s="11">
        <v>95.27</v>
      </c>
    </row>
    <row r="18" spans="1:7" ht="15.6">
      <c r="A18" s="7" t="s">
        <v>16</v>
      </c>
      <c r="B18" s="11">
        <v>508.67</v>
      </c>
    </row>
    <row r="19" spans="1:7" ht="15.6">
      <c r="A19" s="7" t="s">
        <v>17</v>
      </c>
      <c r="B19" s="11">
        <v>14.69</v>
      </c>
    </row>
    <row r="20" spans="1:7" ht="15.6">
      <c r="A20" s="7" t="s">
        <v>18</v>
      </c>
      <c r="B20" s="11">
        <v>0.35</v>
      </c>
    </row>
    <row r="21" spans="1:7" ht="15.6">
      <c r="A21" s="7" t="s">
        <v>19</v>
      </c>
      <c r="B21" s="11">
        <v>5.56</v>
      </c>
      <c r="G21" s="6" t="s">
        <v>26</v>
      </c>
    </row>
    <row r="22" spans="1:7" ht="15.6">
      <c r="A22" s="7" t="s">
        <v>20</v>
      </c>
      <c r="B22" s="11">
        <v>4905.4799999999996</v>
      </c>
      <c r="G22" t="s">
        <v>0</v>
      </c>
    </row>
    <row r="23" spans="1:7" ht="15.6">
      <c r="A23" s="7" t="s">
        <v>21</v>
      </c>
      <c r="B23" s="11">
        <v>74.680000000000007</v>
      </c>
      <c r="F23">
        <v>1</v>
      </c>
      <c r="G23" t="s">
        <v>11</v>
      </c>
    </row>
    <row r="24" spans="1:7" ht="15.6">
      <c r="A24" s="7" t="s">
        <v>22</v>
      </c>
      <c r="B24" s="11">
        <v>114.34</v>
      </c>
      <c r="F24">
        <v>2</v>
      </c>
      <c r="G24" t="s">
        <v>1</v>
      </c>
    </row>
    <row r="25" spans="1:7" ht="15.6">
      <c r="A25" s="7" t="s">
        <v>23</v>
      </c>
      <c r="B25" s="11">
        <v>4757.84</v>
      </c>
      <c r="F25">
        <v>3</v>
      </c>
      <c r="G25" t="s">
        <v>20</v>
      </c>
    </row>
    <row r="26" spans="1:7" ht="15.6">
      <c r="A26" s="7" t="s">
        <v>24</v>
      </c>
      <c r="B26" s="11">
        <v>1434.15</v>
      </c>
      <c r="F26">
        <v>4</v>
      </c>
      <c r="G26" t="s">
        <v>23</v>
      </c>
    </row>
    <row r="27" spans="1:7" ht="15.6">
      <c r="A27" s="18" t="s">
        <v>28</v>
      </c>
      <c r="F27">
        <v>5</v>
      </c>
      <c r="G27" t="s">
        <v>25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2A14-BF40-4ACF-9F92-3C91C03611D8}">
  <dimension ref="A1:G15"/>
  <sheetViews>
    <sheetView zoomScale="129" workbookViewId="0">
      <selection sqref="A1:G15"/>
    </sheetView>
  </sheetViews>
  <sheetFormatPr defaultRowHeight="14.4"/>
  <cols>
    <col min="1" max="1" width="15" bestFit="1" customWidth="1"/>
    <col min="2" max="2" width="7" bestFit="1" customWidth="1"/>
    <col min="3" max="3" width="10.77734375" bestFit="1" customWidth="1"/>
    <col min="4" max="4" width="13.44140625" customWidth="1"/>
    <col min="5" max="5" width="7" bestFit="1" customWidth="1"/>
    <col min="6" max="6" width="10.77734375" bestFit="1" customWidth="1"/>
    <col min="7" max="7" width="12.77734375" customWidth="1"/>
  </cols>
  <sheetData>
    <row r="1" spans="1:7">
      <c r="A1" s="31" t="s">
        <v>29</v>
      </c>
      <c r="B1" s="80" t="s">
        <v>30</v>
      </c>
      <c r="C1" s="80"/>
      <c r="D1" s="80"/>
      <c r="E1" s="80" t="s">
        <v>31</v>
      </c>
      <c r="F1" s="80"/>
      <c r="G1" s="80"/>
    </row>
    <row r="2" spans="1:7">
      <c r="A2" s="31" t="s">
        <v>32</v>
      </c>
      <c r="B2" s="31" t="s">
        <v>33</v>
      </c>
      <c r="C2" s="31" t="s">
        <v>34</v>
      </c>
      <c r="D2" s="31" t="s">
        <v>35</v>
      </c>
      <c r="E2" s="31" t="s">
        <v>33</v>
      </c>
      <c r="F2" s="31" t="s">
        <v>34</v>
      </c>
      <c r="G2" s="31" t="s">
        <v>35</v>
      </c>
    </row>
    <row r="3" spans="1:7">
      <c r="A3" s="32" t="s">
        <v>36</v>
      </c>
      <c r="B3" s="32">
        <v>88.96</v>
      </c>
      <c r="C3" s="32">
        <v>5003.07</v>
      </c>
      <c r="D3" s="32">
        <v>56.24</v>
      </c>
      <c r="E3" s="32">
        <v>107.41</v>
      </c>
      <c r="F3" s="32">
        <v>6624.19</v>
      </c>
      <c r="G3" s="32">
        <v>61.67</v>
      </c>
    </row>
    <row r="4" spans="1:7">
      <c r="A4" s="32" t="s">
        <v>37</v>
      </c>
      <c r="B4" s="32">
        <v>53.08</v>
      </c>
      <c r="C4" s="32">
        <v>913.27</v>
      </c>
      <c r="D4" s="32">
        <v>17.2</v>
      </c>
      <c r="E4" s="32">
        <v>58.14</v>
      </c>
      <c r="F4" s="32">
        <v>971.1</v>
      </c>
      <c r="G4" s="32">
        <v>16.7</v>
      </c>
    </row>
    <row r="5" spans="1:7">
      <c r="A5" s="32" t="s">
        <v>38</v>
      </c>
      <c r="B5" s="32">
        <v>31.07</v>
      </c>
      <c r="C5" s="32">
        <v>1396.39</v>
      </c>
      <c r="D5" s="32">
        <v>44.94</v>
      </c>
      <c r="E5" s="32">
        <v>37.409999999999997</v>
      </c>
      <c r="F5" s="32">
        <v>1821.86</v>
      </c>
      <c r="G5" s="32">
        <v>48.7</v>
      </c>
    </row>
    <row r="6" spans="1:7">
      <c r="A6" s="32" t="s">
        <v>39</v>
      </c>
      <c r="B6" s="32">
        <v>26.57</v>
      </c>
      <c r="C6" s="32">
        <v>745.78</v>
      </c>
      <c r="D6" s="32">
        <v>28.07</v>
      </c>
      <c r="E6" s="32">
        <v>21.16</v>
      </c>
      <c r="F6" s="32">
        <v>525.89</v>
      </c>
      <c r="G6" s="32">
        <v>24.85</v>
      </c>
    </row>
    <row r="7" spans="1:7">
      <c r="A7" s="32" t="s">
        <v>40</v>
      </c>
      <c r="B7" s="32">
        <v>68.150000000000006</v>
      </c>
      <c r="C7" s="32">
        <v>4472.32</v>
      </c>
      <c r="D7" s="32">
        <v>65.63</v>
      </c>
      <c r="E7" s="32">
        <v>71.37</v>
      </c>
      <c r="F7" s="32">
        <v>4846.79</v>
      </c>
      <c r="G7" s="32">
        <v>67.91</v>
      </c>
    </row>
    <row r="8" spans="1:7">
      <c r="A8" s="32" t="s">
        <v>41</v>
      </c>
      <c r="B8" s="32">
        <v>110.55</v>
      </c>
      <c r="C8" s="32">
        <v>2328.9</v>
      </c>
      <c r="D8" s="32">
        <v>21.07</v>
      </c>
      <c r="E8" s="32">
        <v>113.79</v>
      </c>
      <c r="F8" s="32">
        <v>2977.45</v>
      </c>
      <c r="G8" s="32">
        <v>26.16</v>
      </c>
    </row>
    <row r="9" spans="1:7">
      <c r="A9" s="32" t="s">
        <v>42</v>
      </c>
      <c r="B9" s="32">
        <v>109.26</v>
      </c>
      <c r="C9" s="32">
        <v>1119.1600000000001</v>
      </c>
      <c r="D9" s="32">
        <v>10.24</v>
      </c>
      <c r="E9" s="32">
        <v>124.53</v>
      </c>
      <c r="F9" s="32">
        <v>1325.7</v>
      </c>
      <c r="G9" s="32">
        <v>10.64</v>
      </c>
    </row>
    <row r="10" spans="1:7">
      <c r="A10" s="32" t="s">
        <v>43</v>
      </c>
      <c r="B10" s="32">
        <v>26.38</v>
      </c>
      <c r="C10" s="32">
        <v>1834.03</v>
      </c>
      <c r="D10" s="32">
        <v>69.540000000000006</v>
      </c>
      <c r="E10" s="32">
        <v>30.75</v>
      </c>
      <c r="F10" s="32">
        <v>2158.62</v>
      </c>
      <c r="G10" s="32">
        <v>70.19</v>
      </c>
    </row>
    <row r="11" spans="1:7">
      <c r="A11" s="32" t="s">
        <v>44</v>
      </c>
      <c r="B11" s="32">
        <v>80.88</v>
      </c>
      <c r="C11" s="32">
        <v>4209.2700000000004</v>
      </c>
      <c r="D11" s="32">
        <v>52.05</v>
      </c>
      <c r="E11" s="32">
        <v>99.78</v>
      </c>
      <c r="F11" s="32">
        <v>5541.25</v>
      </c>
      <c r="G11" s="32">
        <v>55.53</v>
      </c>
    </row>
    <row r="12" spans="1:7">
      <c r="A12" s="32" t="s">
        <v>45</v>
      </c>
      <c r="B12" s="32">
        <v>24.2</v>
      </c>
      <c r="C12" s="32">
        <v>449.82</v>
      </c>
      <c r="D12" s="32">
        <v>18.59</v>
      </c>
      <c r="E12" s="32">
        <v>20.27</v>
      </c>
      <c r="F12" s="32">
        <v>470.41</v>
      </c>
      <c r="G12" s="33">
        <v>23.21</v>
      </c>
    </row>
    <row r="13" spans="1:7">
      <c r="A13" s="32" t="s">
        <v>46</v>
      </c>
      <c r="B13" s="32">
        <v>264.89999999999998</v>
      </c>
      <c r="C13" s="32">
        <v>8335.99</v>
      </c>
      <c r="D13" s="32">
        <v>31.46</v>
      </c>
      <c r="E13" s="32">
        <v>302.39</v>
      </c>
      <c r="F13" s="32">
        <v>10881.74</v>
      </c>
      <c r="G13" s="32">
        <v>35.979999999999997</v>
      </c>
    </row>
    <row r="14" spans="1:7">
      <c r="A14" s="32" t="s">
        <v>47</v>
      </c>
      <c r="B14" s="32">
        <v>884</v>
      </c>
      <c r="C14" s="32">
        <v>30808</v>
      </c>
      <c r="D14" s="32">
        <v>34.85</v>
      </c>
      <c r="E14" s="32">
        <v>987</v>
      </c>
      <c r="F14" s="32">
        <v>38145</v>
      </c>
      <c r="G14" s="32">
        <v>38.64</v>
      </c>
    </row>
    <row r="15" spans="1:7">
      <c r="A15" s="87" t="s">
        <v>48</v>
      </c>
      <c r="B15" s="87"/>
      <c r="C15" s="87"/>
      <c r="D15" s="87"/>
      <c r="E15" s="87"/>
      <c r="F15" s="87"/>
      <c r="G15" s="87"/>
    </row>
  </sheetData>
  <mergeCells count="3">
    <mergeCell ref="B1:D1"/>
    <mergeCell ref="E1:G1"/>
    <mergeCell ref="A15:G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A73A-0346-4518-8AC0-883562A5E5E3}">
  <dimension ref="A1:P27"/>
  <sheetViews>
    <sheetView workbookViewId="0">
      <pane xSplit="1" topLeftCell="B1" activePane="topRight" state="frozen"/>
      <selection pane="topRight" activeCell="A3" sqref="A3:P8"/>
    </sheetView>
  </sheetViews>
  <sheetFormatPr defaultRowHeight="14.4"/>
  <cols>
    <col min="1" max="1" width="18.77734375" bestFit="1" customWidth="1"/>
    <col min="3" max="3" width="10.44140625" customWidth="1"/>
    <col min="4" max="4" width="10.6640625" bestFit="1" customWidth="1"/>
    <col min="5" max="5" width="9.33203125" customWidth="1"/>
    <col min="6" max="6" width="10.109375" customWidth="1"/>
    <col min="7" max="7" width="10.6640625" bestFit="1" customWidth="1"/>
    <col min="9" max="9" width="10.33203125" bestFit="1" customWidth="1"/>
    <col min="10" max="10" width="11.21875" bestFit="1" customWidth="1"/>
    <col min="12" max="12" width="9.88671875" bestFit="1" customWidth="1"/>
    <col min="13" max="13" width="11.21875" bestFit="1" customWidth="1"/>
    <col min="15" max="15" width="10.33203125" bestFit="1" customWidth="1"/>
    <col min="16" max="16" width="11.21875" bestFit="1" customWidth="1"/>
  </cols>
  <sheetData>
    <row r="1" spans="1:16">
      <c r="A1" s="80" t="s">
        <v>0</v>
      </c>
      <c r="B1" s="81">
        <v>2005</v>
      </c>
      <c r="C1" s="81"/>
      <c r="D1" s="82"/>
      <c r="E1" s="83">
        <v>2010</v>
      </c>
      <c r="F1" s="84"/>
      <c r="G1" s="85"/>
      <c r="H1" s="83">
        <v>2015</v>
      </c>
      <c r="I1" s="84"/>
      <c r="J1" s="85"/>
      <c r="K1" s="83">
        <v>2020</v>
      </c>
      <c r="L1" s="84"/>
      <c r="M1" s="85"/>
      <c r="N1" s="86">
        <v>2024</v>
      </c>
      <c r="O1" s="86"/>
      <c r="P1" s="86"/>
    </row>
    <row r="2" spans="1:16">
      <c r="A2" s="80"/>
      <c r="B2" s="45" t="s">
        <v>49</v>
      </c>
      <c r="C2" s="5" t="s">
        <v>50</v>
      </c>
      <c r="D2" s="5" t="s">
        <v>51</v>
      </c>
      <c r="E2" s="40" t="s">
        <v>49</v>
      </c>
      <c r="F2" s="40" t="s">
        <v>50</v>
      </c>
      <c r="G2" s="40" t="s">
        <v>51</v>
      </c>
      <c r="H2" s="40" t="s">
        <v>49</v>
      </c>
      <c r="I2" s="40" t="s">
        <v>50</v>
      </c>
      <c r="J2" s="40" t="s">
        <v>51</v>
      </c>
      <c r="K2" s="40" t="s">
        <v>49</v>
      </c>
      <c r="L2" s="40" t="s">
        <v>50</v>
      </c>
      <c r="M2" s="40" t="s">
        <v>51</v>
      </c>
      <c r="N2" s="40" t="s">
        <v>49</v>
      </c>
      <c r="O2" s="40" t="s">
        <v>50</v>
      </c>
      <c r="P2" s="40" t="s">
        <v>51</v>
      </c>
    </row>
    <row r="3" spans="1:16" ht="15.6">
      <c r="A3" s="7" t="s">
        <v>11</v>
      </c>
      <c r="B3" s="47">
        <v>67.400000000000006</v>
      </c>
      <c r="C3" s="46">
        <v>4535</v>
      </c>
      <c r="D3" s="37">
        <v>67.284866468842722</v>
      </c>
      <c r="E3" s="47">
        <v>80.5</v>
      </c>
      <c r="F3" s="37">
        <v>4303</v>
      </c>
      <c r="G3" s="37">
        <v>53.453416149068325</v>
      </c>
      <c r="H3" s="48">
        <v>69.55</v>
      </c>
      <c r="I3" s="49">
        <v>3025.15</v>
      </c>
      <c r="J3" s="37">
        <v>43.496046010064703</v>
      </c>
      <c r="K3" s="48">
        <v>84.26</v>
      </c>
      <c r="L3" s="37">
        <v>4223.05</v>
      </c>
      <c r="M3" s="37">
        <v>50.119273676714926</v>
      </c>
      <c r="N3" s="50">
        <v>123.34</v>
      </c>
      <c r="O3" s="50">
        <v>7229.86</v>
      </c>
      <c r="P3" s="37">
        <v>58.617317982811734</v>
      </c>
    </row>
    <row r="4" spans="1:16" ht="15.6">
      <c r="A4" s="7" t="s">
        <v>1</v>
      </c>
      <c r="B4" s="47">
        <v>70.5</v>
      </c>
      <c r="C4" s="46">
        <v>1438.7</v>
      </c>
      <c r="D4" s="37">
        <v>20.407092198581562</v>
      </c>
      <c r="E4" s="47">
        <v>77.5</v>
      </c>
      <c r="F4" s="37">
        <v>2774.8</v>
      </c>
      <c r="G4" s="37">
        <v>35.803870967741936</v>
      </c>
      <c r="H4" s="48">
        <v>75.72</v>
      </c>
      <c r="I4" s="49">
        <v>3570.62</v>
      </c>
      <c r="J4" s="37">
        <v>47.155573164289486</v>
      </c>
      <c r="K4" s="48">
        <v>97.25</v>
      </c>
      <c r="L4" s="37">
        <v>5834.7</v>
      </c>
      <c r="M4" s="37">
        <v>59.996915167095111</v>
      </c>
      <c r="N4" s="50">
        <v>110.82</v>
      </c>
      <c r="O4" s="50">
        <v>6734.44</v>
      </c>
      <c r="P4" s="37">
        <v>60.769175239126511</v>
      </c>
    </row>
    <row r="5" spans="1:16" ht="15.6">
      <c r="A5" s="7" t="s">
        <v>20</v>
      </c>
      <c r="B5" s="47">
        <v>96.3</v>
      </c>
      <c r="C5" s="46">
        <v>3462</v>
      </c>
      <c r="D5" s="37">
        <v>35.950155763239877</v>
      </c>
      <c r="E5" s="47">
        <v>123.8</v>
      </c>
      <c r="F5" s="37">
        <f>(E5+G5)/2</f>
        <v>83.059783925686588</v>
      </c>
      <c r="G5" s="37">
        <v>42.319567851373186</v>
      </c>
      <c r="H5" s="48">
        <v>94.61</v>
      </c>
      <c r="I5" s="49">
        <v>4331.6499999999996</v>
      </c>
      <c r="J5" s="37">
        <v>45.784272275657962</v>
      </c>
      <c r="K5" s="48">
        <v>97.64</v>
      </c>
      <c r="L5" s="37">
        <v>3895.65</v>
      </c>
      <c r="M5" s="37">
        <v>39.898095043015161</v>
      </c>
      <c r="N5" s="50">
        <v>114.77</v>
      </c>
      <c r="O5" s="50">
        <v>4905.4799999999996</v>
      </c>
      <c r="P5" s="37">
        <v>42.741831489065085</v>
      </c>
    </row>
    <row r="6" spans="1:16" ht="15.6">
      <c r="A6" s="7" t="s">
        <v>23</v>
      </c>
      <c r="B6" s="47">
        <v>24.9</v>
      </c>
      <c r="C6" s="46">
        <v>1100</v>
      </c>
      <c r="D6" s="37">
        <v>44.176706827309239</v>
      </c>
      <c r="E6" s="47">
        <v>31.2</v>
      </c>
      <c r="F6" s="37">
        <v>1346.1</v>
      </c>
      <c r="G6" s="37">
        <v>43.144230769230766</v>
      </c>
      <c r="H6" s="48">
        <v>67</v>
      </c>
      <c r="I6" s="49">
        <v>3061.21</v>
      </c>
      <c r="J6" s="37">
        <v>45.689701492537317</v>
      </c>
      <c r="K6" s="48">
        <v>73.78</v>
      </c>
      <c r="L6" s="37">
        <v>3387.51</v>
      </c>
      <c r="M6" s="37">
        <v>45.913662239089184</v>
      </c>
      <c r="N6" s="50">
        <v>93.29</v>
      </c>
      <c r="O6" s="50">
        <v>4757.84</v>
      </c>
      <c r="P6" s="37">
        <v>51.000535963125735</v>
      </c>
    </row>
    <row r="7" spans="1:16" ht="15.6">
      <c r="A7" s="7" t="s">
        <v>25</v>
      </c>
      <c r="B7" s="47">
        <v>47.9</v>
      </c>
      <c r="C7" s="46">
        <v>1979</v>
      </c>
      <c r="D7" s="37">
        <v>41.315240083507305</v>
      </c>
      <c r="E7" s="47">
        <v>63.5</v>
      </c>
      <c r="F7" s="37">
        <v>3978</v>
      </c>
      <c r="G7" s="37">
        <v>62.645669291338585</v>
      </c>
      <c r="H7" s="48">
        <v>64.69</v>
      </c>
      <c r="I7" s="49">
        <v>4185.5200000000004</v>
      </c>
      <c r="J7" s="37">
        <v>64.701190292162636</v>
      </c>
      <c r="K7" s="48">
        <v>59.26</v>
      </c>
      <c r="L7" s="37">
        <v>3907.21</v>
      </c>
      <c r="M7" s="37">
        <v>65.933344583192707</v>
      </c>
      <c r="N7" s="50">
        <v>59.9</v>
      </c>
      <c r="O7" s="50">
        <v>4025.28</v>
      </c>
      <c r="P7" s="37">
        <v>67.2</v>
      </c>
    </row>
    <row r="8" spans="1:16" ht="15.6">
      <c r="A8" s="7" t="s">
        <v>10</v>
      </c>
      <c r="B8" s="47">
        <v>12.6</v>
      </c>
      <c r="C8" s="46">
        <v>750</v>
      </c>
      <c r="D8" s="37">
        <v>59.523809523809526</v>
      </c>
      <c r="E8" s="47">
        <v>36.9</v>
      </c>
      <c r="F8" s="37">
        <v>1719.6</v>
      </c>
      <c r="G8" s="37">
        <v>46.601626016260163</v>
      </c>
      <c r="H8" s="48">
        <v>28.35</v>
      </c>
      <c r="I8" s="49">
        <v>1758.05</v>
      </c>
      <c r="J8" s="37">
        <v>62.012345679012341</v>
      </c>
      <c r="K8" s="48">
        <v>29.48</v>
      </c>
      <c r="L8" s="37">
        <v>2025.46</v>
      </c>
      <c r="M8" s="37">
        <v>68.70624151967435</v>
      </c>
      <c r="N8" s="50">
        <v>34.869999999999997</v>
      </c>
      <c r="O8" s="50">
        <v>2463.36</v>
      </c>
      <c r="P8" s="37">
        <v>70.644106681961574</v>
      </c>
    </row>
    <row r="9" spans="1:16" ht="15.6">
      <c r="A9" s="7" t="s">
        <v>4</v>
      </c>
      <c r="B9" s="47">
        <v>26.6</v>
      </c>
      <c r="C9" s="46">
        <v>920</v>
      </c>
      <c r="D9" s="37">
        <v>34.586466165413533</v>
      </c>
      <c r="E9" s="47">
        <v>30.8</v>
      </c>
      <c r="F9" s="37">
        <v>1517.1</v>
      </c>
      <c r="G9" s="37">
        <v>49.256493506493506</v>
      </c>
      <c r="H9" s="48">
        <v>34.799999999999997</v>
      </c>
      <c r="I9" s="49">
        <v>1535.3</v>
      </c>
      <c r="J9" s="37">
        <v>44.117816091954026</v>
      </c>
      <c r="K9" s="48">
        <v>35.32</v>
      </c>
      <c r="L9" s="37">
        <v>1612.56</v>
      </c>
      <c r="M9" s="37">
        <v>45.655719139297844</v>
      </c>
      <c r="N9" s="50">
        <v>42.69</v>
      </c>
      <c r="O9" s="50">
        <v>1920.96</v>
      </c>
      <c r="P9" s="37">
        <v>44.997891777933944</v>
      </c>
    </row>
    <row r="10" spans="1:16" ht="15.6">
      <c r="A10" s="7" t="s">
        <v>24</v>
      </c>
      <c r="B10" s="47">
        <v>28.7</v>
      </c>
      <c r="C10" s="46">
        <v>800</v>
      </c>
      <c r="D10" s="37">
        <v>27.874564459930316</v>
      </c>
      <c r="E10" s="47">
        <v>40.9</v>
      </c>
      <c r="F10" s="37">
        <v>1010.1</v>
      </c>
      <c r="G10" s="37">
        <v>24.69682151589242</v>
      </c>
      <c r="H10" s="48">
        <v>48.07</v>
      </c>
      <c r="I10" s="49">
        <v>1172.3399999999999</v>
      </c>
      <c r="J10" s="37">
        <v>24.38818389848138</v>
      </c>
      <c r="K10" s="48">
        <v>51.6</v>
      </c>
      <c r="L10" s="37">
        <v>1116.4100000000001</v>
      </c>
      <c r="M10" s="37">
        <v>21.635852713178295</v>
      </c>
      <c r="N10" s="50">
        <v>65.5</v>
      </c>
      <c r="O10" s="50">
        <v>1434.15</v>
      </c>
      <c r="P10" s="37">
        <v>21.895419847328245</v>
      </c>
    </row>
    <row r="11" spans="1:16" ht="15.6">
      <c r="A11" s="7" t="s">
        <v>8</v>
      </c>
      <c r="B11" s="47">
        <v>52.8</v>
      </c>
      <c r="C11" s="46">
        <v>1345</v>
      </c>
      <c r="D11" s="37">
        <v>25.473484848484851</v>
      </c>
      <c r="E11" s="47">
        <v>110.2</v>
      </c>
      <c r="F11" s="37">
        <v>2281.6</v>
      </c>
      <c r="G11" s="37">
        <v>20.704174228675136</v>
      </c>
      <c r="H11" s="48">
        <v>96.63</v>
      </c>
      <c r="I11" s="49">
        <v>2370.9499999999998</v>
      </c>
      <c r="J11" s="37">
        <v>24.53637586670806</v>
      </c>
      <c r="K11" s="48">
        <v>128.76</v>
      </c>
      <c r="L11" s="37">
        <v>3367.67</v>
      </c>
      <c r="M11" s="37">
        <v>26.154628766697734</v>
      </c>
      <c r="N11" s="50">
        <v>45.71</v>
      </c>
      <c r="O11" s="50">
        <v>1248.8900000000001</v>
      </c>
      <c r="P11" s="37">
        <v>27.322030190330345</v>
      </c>
    </row>
    <row r="12" spans="1:16" ht="15.6">
      <c r="A12" s="7" t="s">
        <v>3</v>
      </c>
      <c r="B12" s="47">
        <v>39.799999999999997</v>
      </c>
      <c r="C12" s="46">
        <v>610</v>
      </c>
      <c r="D12" s="37">
        <v>15.326633165829147</v>
      </c>
      <c r="E12" s="47">
        <v>46</v>
      </c>
      <c r="F12" s="37">
        <v>723.6</v>
      </c>
      <c r="G12" s="37">
        <v>15.730434782608697</v>
      </c>
      <c r="H12" s="48">
        <v>51.1</v>
      </c>
      <c r="I12" s="49">
        <v>882.71</v>
      </c>
      <c r="J12" s="37">
        <v>17.274168297455969</v>
      </c>
      <c r="K12" s="48">
        <v>48.78</v>
      </c>
      <c r="L12" s="37">
        <v>909.83</v>
      </c>
      <c r="M12" s="37">
        <v>18.651701517015169</v>
      </c>
      <c r="N12" s="50">
        <v>53.86</v>
      </c>
      <c r="O12" s="50">
        <v>1022.51</v>
      </c>
      <c r="P12" s="37">
        <v>18.984589676940214</v>
      </c>
    </row>
    <row r="13" spans="1:16" ht="15.6">
      <c r="A13" s="7" t="s">
        <v>5</v>
      </c>
      <c r="B13" s="47">
        <v>11.2</v>
      </c>
      <c r="C13" s="46">
        <v>210</v>
      </c>
      <c r="D13" s="37">
        <v>18.75</v>
      </c>
      <c r="E13" s="47">
        <v>13.9</v>
      </c>
      <c r="F13" s="37">
        <v>380.6</v>
      </c>
      <c r="G13" s="37">
        <v>27.381294964028779</v>
      </c>
      <c r="H13" s="48">
        <v>25.76</v>
      </c>
      <c r="I13" s="49">
        <v>587.41999999999996</v>
      </c>
      <c r="J13" s="37">
        <v>22.803571428571427</v>
      </c>
      <c r="K13" s="48">
        <v>24.54</v>
      </c>
      <c r="L13" s="37">
        <v>585.71</v>
      </c>
      <c r="M13" s="37">
        <v>23.86756316218419</v>
      </c>
      <c r="N13" s="50">
        <v>23.91</v>
      </c>
      <c r="O13" s="50">
        <v>576.47</v>
      </c>
      <c r="P13" s="37">
        <v>24.109995817649519</v>
      </c>
    </row>
    <row r="14" spans="1:16" ht="15.6">
      <c r="A14" s="7" t="s">
        <v>16</v>
      </c>
      <c r="B14" s="47">
        <v>20.2</v>
      </c>
      <c r="C14" s="46">
        <v>280</v>
      </c>
      <c r="D14" s="37">
        <v>13.861386138613861</v>
      </c>
      <c r="E14" s="47">
        <v>25.8</v>
      </c>
      <c r="F14" s="37">
        <v>488.7</v>
      </c>
      <c r="G14" s="37">
        <v>18.941860465116278</v>
      </c>
      <c r="H14" s="48">
        <v>24.47</v>
      </c>
      <c r="I14" s="49">
        <v>462.71</v>
      </c>
      <c r="J14" s="37">
        <v>18.909276665304454</v>
      </c>
      <c r="K14" s="48">
        <v>23.61</v>
      </c>
      <c r="L14" s="37">
        <v>502.83</v>
      </c>
      <c r="M14" s="37">
        <v>21.297331639135958</v>
      </c>
      <c r="N14" s="50">
        <v>23.55</v>
      </c>
      <c r="O14" s="50">
        <v>508.67</v>
      </c>
      <c r="P14" s="37">
        <v>21.599575371549893</v>
      </c>
    </row>
    <row r="15" spans="1:16" ht="15.6">
      <c r="A15" s="7" t="s">
        <v>9</v>
      </c>
      <c r="B15" s="47">
        <v>56.7</v>
      </c>
      <c r="C15" s="46">
        <v>420</v>
      </c>
      <c r="D15" s="37">
        <v>7.4074074074074074</v>
      </c>
      <c r="E15" s="47">
        <v>57.4</v>
      </c>
      <c r="F15" s="37">
        <f t="shared" ref="F15:F21" si="0">(E15+G15)/2</f>
        <v>32.602569686411151</v>
      </c>
      <c r="G15" s="37">
        <v>7.8051393728222997</v>
      </c>
      <c r="H15" s="48">
        <v>84.56</v>
      </c>
      <c r="I15" s="49">
        <v>1292.4100000000001</v>
      </c>
      <c r="J15" s="37">
        <v>15.283940397350994</v>
      </c>
      <c r="K15" s="48">
        <v>111.26</v>
      </c>
      <c r="L15" s="37">
        <v>957.05</v>
      </c>
      <c r="M15" s="37">
        <v>8.6019234226136962</v>
      </c>
      <c r="N15" s="50">
        <v>47.95</v>
      </c>
      <c r="O15" s="50">
        <v>485.2</v>
      </c>
      <c r="P15" s="37">
        <v>10.118873826903023</v>
      </c>
    </row>
    <row r="16" spans="1:16" ht="15.6">
      <c r="A16" s="7" t="s">
        <v>14</v>
      </c>
      <c r="B16" s="47">
        <v>9.1</v>
      </c>
      <c r="C16" s="46">
        <v>200</v>
      </c>
      <c r="D16" s="37">
        <v>21.978021978021978</v>
      </c>
      <c r="E16" s="47">
        <v>9.6999999999999993</v>
      </c>
      <c r="F16" s="37">
        <f t="shared" si="0"/>
        <v>10.930670103092783</v>
      </c>
      <c r="G16" s="37">
        <v>12.161340206185569</v>
      </c>
      <c r="H16" s="48">
        <v>10.91</v>
      </c>
      <c r="I16" s="49">
        <v>141.03</v>
      </c>
      <c r="J16" s="37">
        <v>12.926672777268561</v>
      </c>
      <c r="K16" s="48">
        <v>11.43</v>
      </c>
      <c r="L16" s="37">
        <v>140.5</v>
      </c>
      <c r="M16" s="37">
        <v>12.292213473315837</v>
      </c>
      <c r="N16" s="50">
        <v>11.68</v>
      </c>
      <c r="O16" s="50">
        <v>140.5</v>
      </c>
      <c r="P16" s="37">
        <v>12.029109589041097</v>
      </c>
    </row>
    <row r="17" spans="1:16" ht="15.6">
      <c r="A17" s="7" t="s">
        <v>22</v>
      </c>
      <c r="B17" s="47">
        <v>10.199999999999999</v>
      </c>
      <c r="C17" s="46">
        <v>95</v>
      </c>
      <c r="D17" s="37">
        <v>9.3137254901960791</v>
      </c>
      <c r="E17" s="47">
        <v>7.4</v>
      </c>
      <c r="F17" s="37">
        <f t="shared" si="0"/>
        <v>10.657432432432433</v>
      </c>
      <c r="G17" s="37">
        <v>13.914864864864864</v>
      </c>
      <c r="H17" s="48">
        <v>14.62</v>
      </c>
      <c r="I17" s="49">
        <v>153.62</v>
      </c>
      <c r="J17" s="37">
        <v>10.507523939808483</v>
      </c>
      <c r="K17" s="48">
        <v>10.75</v>
      </c>
      <c r="L17" s="37">
        <v>111.11</v>
      </c>
      <c r="M17" s="37">
        <v>10.335813953488373</v>
      </c>
      <c r="N17" s="50">
        <v>11.68</v>
      </c>
      <c r="O17" s="50">
        <v>114.34</v>
      </c>
      <c r="P17" s="37">
        <v>9.7893835616438363</v>
      </c>
    </row>
    <row r="18" spans="1:16" ht="15.6">
      <c r="A18" s="7" t="s">
        <v>13</v>
      </c>
      <c r="B18" s="47">
        <v>5.4</v>
      </c>
      <c r="C18" s="46">
        <v>75</v>
      </c>
      <c r="D18" s="37">
        <v>13.888888888888888</v>
      </c>
      <c r="E18" s="47">
        <v>5.6</v>
      </c>
      <c r="F18" s="37">
        <f t="shared" si="0"/>
        <v>9.7366071428571423</v>
      </c>
      <c r="G18" s="37">
        <v>13.873214285714287</v>
      </c>
      <c r="H18" s="48">
        <v>7.11</v>
      </c>
      <c r="I18" s="49">
        <v>88.71</v>
      </c>
      <c r="J18" s="37">
        <v>12.476793248945146</v>
      </c>
      <c r="K18" s="48">
        <v>7.3</v>
      </c>
      <c r="L18" s="37">
        <v>95.01</v>
      </c>
      <c r="M18" s="37">
        <v>13.015068493150686</v>
      </c>
      <c r="N18" s="50">
        <v>7.95</v>
      </c>
      <c r="O18" s="50">
        <v>102.88</v>
      </c>
      <c r="P18" s="37">
        <v>12.940880503144653</v>
      </c>
    </row>
    <row r="19" spans="1:16" ht="15.6">
      <c r="A19" s="7" t="s">
        <v>15</v>
      </c>
      <c r="B19" s="47">
        <v>5.6</v>
      </c>
      <c r="C19" s="46">
        <v>60</v>
      </c>
      <c r="D19" s="37">
        <v>10.714285714285715</v>
      </c>
      <c r="E19" s="47">
        <v>6.2</v>
      </c>
      <c r="F19" s="37">
        <f t="shared" si="0"/>
        <v>9.0677419354838715</v>
      </c>
      <c r="G19" s="37">
        <v>11.935483870967742</v>
      </c>
      <c r="H19" s="48">
        <v>7.25</v>
      </c>
      <c r="I19" s="49">
        <v>108.51</v>
      </c>
      <c r="J19" s="37">
        <v>14.966896551724139</v>
      </c>
      <c r="K19" s="48">
        <v>6.94</v>
      </c>
      <c r="L19" s="37">
        <v>87.28</v>
      </c>
      <c r="M19" s="37">
        <v>12.576368876080691</v>
      </c>
      <c r="N19" s="50">
        <v>7.3</v>
      </c>
      <c r="O19" s="50">
        <v>95.27</v>
      </c>
      <c r="P19" s="37">
        <v>13.050684931506849</v>
      </c>
    </row>
    <row r="20" spans="1:16" ht="15.6">
      <c r="A20" s="7" t="s">
        <v>12</v>
      </c>
      <c r="B20" s="47">
        <v>5</v>
      </c>
      <c r="C20" s="46">
        <v>35</v>
      </c>
      <c r="D20" s="37">
        <v>7</v>
      </c>
      <c r="E20" s="47">
        <v>32.799999999999997</v>
      </c>
      <c r="F20" s="37">
        <f t="shared" si="0"/>
        <v>17.643368902439022</v>
      </c>
      <c r="G20" s="37">
        <v>2.4867378048780489</v>
      </c>
      <c r="H20" s="48">
        <v>6.95</v>
      </c>
      <c r="I20" s="49">
        <v>93.95</v>
      </c>
      <c r="J20" s="37">
        <v>13.517985611510792</v>
      </c>
      <c r="K20" s="48">
        <v>6.18</v>
      </c>
      <c r="L20" s="37">
        <v>88.5</v>
      </c>
      <c r="M20" s="37">
        <v>14.320388349514564</v>
      </c>
      <c r="N20" s="50">
        <v>6.12</v>
      </c>
      <c r="O20" s="50">
        <v>81.41</v>
      </c>
      <c r="P20" s="37">
        <v>13.302287581699346</v>
      </c>
    </row>
    <row r="21" spans="1:16" ht="15.6">
      <c r="A21" s="7" t="s">
        <v>21</v>
      </c>
      <c r="B21" s="47">
        <v>6.8</v>
      </c>
      <c r="C21" s="46">
        <v>300</v>
      </c>
      <c r="D21" s="37">
        <v>44.117647058823529</v>
      </c>
      <c r="E21" s="47">
        <v>7.6</v>
      </c>
      <c r="F21" s="37">
        <f t="shared" si="0"/>
        <v>11.936513157894737</v>
      </c>
      <c r="G21" s="37">
        <v>16.273026315789473</v>
      </c>
      <c r="H21" s="48">
        <v>4.6500000000000004</v>
      </c>
      <c r="I21" s="49">
        <v>183.7</v>
      </c>
      <c r="J21" s="37">
        <v>39.505376344086017</v>
      </c>
      <c r="K21" s="48">
        <v>2.19</v>
      </c>
      <c r="L21" s="37">
        <v>100.12</v>
      </c>
      <c r="M21" s="37">
        <v>45.716894977168955</v>
      </c>
      <c r="N21" s="50">
        <v>1.83</v>
      </c>
      <c r="O21" s="50">
        <v>74.680000000000007</v>
      </c>
      <c r="P21" s="37">
        <v>40.808743169398909</v>
      </c>
    </row>
    <row r="22" spans="1:16" ht="15.6">
      <c r="A22" s="7" t="s">
        <v>7</v>
      </c>
      <c r="B22" s="47">
        <v>1.9</v>
      </c>
      <c r="C22" s="46">
        <v>0.53</v>
      </c>
      <c r="D22" s="37">
        <v>0.27894736842105267</v>
      </c>
      <c r="E22" s="47">
        <v>3</v>
      </c>
      <c r="F22" s="37">
        <v>1.19</v>
      </c>
      <c r="G22" s="37">
        <v>0.39666666666666667</v>
      </c>
      <c r="H22" s="48">
        <v>12.53</v>
      </c>
      <c r="I22" s="49">
        <v>33.28</v>
      </c>
      <c r="J22" s="37">
        <v>2.656025538707103</v>
      </c>
      <c r="K22" s="48">
        <v>5.64</v>
      </c>
      <c r="L22" s="37">
        <v>32.869999999999997</v>
      </c>
      <c r="M22" s="37">
        <v>5.8280141843971629</v>
      </c>
      <c r="N22" s="50">
        <v>5.77</v>
      </c>
      <c r="O22" s="50">
        <v>42.38</v>
      </c>
      <c r="P22" s="37">
        <v>7.3448873483535539</v>
      </c>
    </row>
    <row r="23" spans="1:16" ht="15.6">
      <c r="A23" s="7" t="s">
        <v>17</v>
      </c>
      <c r="B23" s="47">
        <v>0.13</v>
      </c>
      <c r="C23" s="46">
        <v>5</v>
      </c>
      <c r="D23" s="37">
        <v>38.46153846153846</v>
      </c>
      <c r="E23" s="47">
        <v>0.19</v>
      </c>
      <c r="F23" s="37">
        <f>(E23+G23)/2</f>
        <v>23.92394736842105</v>
      </c>
      <c r="G23" s="37">
        <v>47.657894736842103</v>
      </c>
      <c r="H23" s="48">
        <v>0.11</v>
      </c>
      <c r="I23" s="49">
        <v>6.43</v>
      </c>
      <c r="J23" s="37">
        <v>58.454545454545453</v>
      </c>
      <c r="K23" s="48">
        <v>0.15</v>
      </c>
      <c r="L23" s="37">
        <v>9.0500000000000007</v>
      </c>
      <c r="M23" s="37">
        <v>60.333333333333343</v>
      </c>
      <c r="N23" s="50">
        <v>0.24</v>
      </c>
      <c r="O23" s="50">
        <v>14.69</v>
      </c>
      <c r="P23" s="37">
        <v>61.208333333333336</v>
      </c>
    </row>
    <row r="24" spans="1:16" ht="15.6">
      <c r="A24" s="7" t="s">
        <v>2</v>
      </c>
      <c r="B24" s="47">
        <v>4.8</v>
      </c>
      <c r="C24" s="46">
        <v>10</v>
      </c>
      <c r="D24" s="37">
        <v>2.0833333333333335</v>
      </c>
      <c r="E24" s="47">
        <v>12.2</v>
      </c>
      <c r="F24" s="37">
        <v>16.46</v>
      </c>
      <c r="G24" s="37">
        <v>1.3491803278688526</v>
      </c>
      <c r="H24" s="48">
        <v>5.42</v>
      </c>
      <c r="I24" s="49">
        <v>31.64</v>
      </c>
      <c r="J24" s="37">
        <v>5.8376383763837643</v>
      </c>
      <c r="K24" s="48">
        <v>2.2000000000000002</v>
      </c>
      <c r="L24" s="37">
        <v>14.03</v>
      </c>
      <c r="M24" s="37">
        <v>6.3772727272727261</v>
      </c>
      <c r="N24" s="50">
        <v>3.63</v>
      </c>
      <c r="O24" s="50">
        <v>14.49</v>
      </c>
      <c r="P24" s="37">
        <v>3.9917355371900829</v>
      </c>
    </row>
    <row r="25" spans="1:16" ht="15.6">
      <c r="A25" s="7" t="s">
        <v>19</v>
      </c>
      <c r="B25" s="47">
        <v>0.9</v>
      </c>
      <c r="C25" s="46">
        <v>3</v>
      </c>
      <c r="D25" s="37">
        <v>3.333333333333333</v>
      </c>
      <c r="E25" s="47">
        <v>1.4</v>
      </c>
      <c r="F25" s="37">
        <f>(E25+G25)/2</f>
        <v>1.9857142857142858</v>
      </c>
      <c r="G25" s="37">
        <v>2.5714285714285716</v>
      </c>
      <c r="H25" s="48">
        <v>1.1499999999999999</v>
      </c>
      <c r="I25" s="49">
        <v>3.56</v>
      </c>
      <c r="J25" s="37">
        <v>3.0956521739130438</v>
      </c>
      <c r="K25" s="48">
        <v>1.3</v>
      </c>
      <c r="L25" s="37">
        <v>5.53</v>
      </c>
      <c r="M25" s="37">
        <v>4.2538461538461538</v>
      </c>
      <c r="N25" s="50">
        <v>1.31</v>
      </c>
      <c r="O25" s="50">
        <v>5.56</v>
      </c>
      <c r="P25" s="37">
        <v>4.2442748091603049</v>
      </c>
    </row>
    <row r="26" spans="1:16" ht="15.6">
      <c r="A26" s="7" t="s">
        <v>18</v>
      </c>
      <c r="B26" s="47">
        <v>0.04</v>
      </c>
      <c r="C26" s="46">
        <v>1</v>
      </c>
      <c r="D26" s="37">
        <v>25</v>
      </c>
      <c r="E26" s="47">
        <v>0.09</v>
      </c>
      <c r="F26" s="37">
        <f>(E26+G26)/2</f>
        <v>4.628333333333333</v>
      </c>
      <c r="G26" s="37">
        <v>9.1666666666666661</v>
      </c>
      <c r="H26" s="48">
        <v>0.03</v>
      </c>
      <c r="I26" s="49">
        <v>0.41</v>
      </c>
      <c r="J26" s="37">
        <v>13.666666666666666</v>
      </c>
      <c r="K26" s="48">
        <v>0.04</v>
      </c>
      <c r="L26" s="37">
        <v>0.41</v>
      </c>
      <c r="M26" s="37">
        <v>10.25</v>
      </c>
      <c r="N26" s="50">
        <v>0.04</v>
      </c>
      <c r="O26" s="50">
        <v>0.35</v>
      </c>
      <c r="P26" s="37">
        <v>8.75</v>
      </c>
    </row>
    <row r="27" spans="1:16" ht="15.6">
      <c r="A27" s="7" t="s">
        <v>6</v>
      </c>
      <c r="B27" s="47">
        <v>7.0000000000000007E-2</v>
      </c>
      <c r="C27" s="46">
        <v>0.12</v>
      </c>
      <c r="D27" s="37">
        <v>1.714285714285714</v>
      </c>
      <c r="E27" s="47">
        <v>0.1</v>
      </c>
      <c r="F27" s="37">
        <v>0.35</v>
      </c>
      <c r="G27" s="37">
        <v>3.4999999999999996</v>
      </c>
      <c r="H27" s="48">
        <v>0.09</v>
      </c>
      <c r="I27" s="49">
        <v>0.42</v>
      </c>
      <c r="J27" s="37">
        <v>4.666666666666667</v>
      </c>
      <c r="K27" s="48">
        <v>7.0000000000000007E-2</v>
      </c>
      <c r="L27" s="37">
        <v>0.12</v>
      </c>
      <c r="M27" s="37">
        <v>1.714285714285714</v>
      </c>
      <c r="N27" s="50">
        <v>0.06</v>
      </c>
      <c r="O27" s="50">
        <v>0.21</v>
      </c>
      <c r="P27" s="37">
        <v>3.5</v>
      </c>
    </row>
  </sheetData>
  <sortState xmlns:xlrd2="http://schemas.microsoft.com/office/spreadsheetml/2017/richdata2" ref="A3:P27">
    <sortCondition descending="1" ref="O3:O27"/>
  </sortState>
  <mergeCells count="6">
    <mergeCell ref="N1:P1"/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4F3A-8E40-419F-A752-E85A18417096}">
  <dimension ref="A1:Y28"/>
  <sheetViews>
    <sheetView topLeftCell="I1" zoomScale="88" workbookViewId="0">
      <selection activeCell="K6" sqref="K6:Y14"/>
    </sheetView>
  </sheetViews>
  <sheetFormatPr defaultRowHeight="14.4"/>
  <cols>
    <col min="1" max="1" width="18.77734375" bestFit="1" customWidth="1"/>
    <col min="3" max="3" width="10.33203125" bestFit="1" customWidth="1"/>
    <col min="4" max="4" width="11.21875" bestFit="1" customWidth="1"/>
    <col min="6" max="6" width="12.77734375" customWidth="1"/>
    <col min="7" max="7" width="12.21875" customWidth="1"/>
    <col min="11" max="11" width="16.77734375" bestFit="1" customWidth="1"/>
    <col min="17" max="17" width="13.6640625" customWidth="1"/>
    <col min="19" max="19" width="16.77734375" bestFit="1" customWidth="1"/>
  </cols>
  <sheetData>
    <row r="1" spans="1:25" ht="15" thickBot="1">
      <c r="A1" s="88" t="s">
        <v>0</v>
      </c>
      <c r="B1" s="90">
        <v>2015</v>
      </c>
      <c r="C1" s="91"/>
      <c r="D1" s="92"/>
      <c r="E1" s="93">
        <v>2024</v>
      </c>
      <c r="F1" s="94"/>
      <c r="G1" s="95"/>
    </row>
    <row r="2" spans="1:25" ht="15" thickBot="1">
      <c r="A2" s="89"/>
      <c r="B2" s="51" t="s">
        <v>49</v>
      </c>
      <c r="C2" s="51" t="s">
        <v>50</v>
      </c>
      <c r="D2" s="51" t="s">
        <v>51</v>
      </c>
      <c r="E2" s="52" t="s">
        <v>49</v>
      </c>
      <c r="F2" s="52" t="s">
        <v>50</v>
      </c>
      <c r="G2" s="52" t="s">
        <v>51</v>
      </c>
    </row>
    <row r="3" spans="1:25" ht="16.2" thickBot="1">
      <c r="A3" s="53" t="s">
        <v>1</v>
      </c>
      <c r="B3" s="54">
        <v>75.72</v>
      </c>
      <c r="C3" s="55">
        <v>3570.62</v>
      </c>
      <c r="D3" s="56">
        <v>47.16</v>
      </c>
      <c r="E3" s="57">
        <v>110.82</v>
      </c>
      <c r="F3" s="57">
        <v>6734.44</v>
      </c>
      <c r="G3" s="57">
        <v>60.77</v>
      </c>
    </row>
    <row r="4" spans="1:25" ht="16.2" thickBot="1">
      <c r="A4" s="53" t="s">
        <v>2</v>
      </c>
      <c r="B4" s="54">
        <v>5.42</v>
      </c>
      <c r="C4" s="55">
        <v>31.64</v>
      </c>
      <c r="D4" s="56">
        <v>5.84</v>
      </c>
      <c r="E4" s="57">
        <v>3.63</v>
      </c>
      <c r="F4" s="57">
        <v>14.49</v>
      </c>
      <c r="G4" s="57">
        <v>3.99</v>
      </c>
    </row>
    <row r="5" spans="1:25" ht="16.2" thickBot="1">
      <c r="A5" s="53" t="s">
        <v>3</v>
      </c>
      <c r="B5" s="54">
        <v>51.1</v>
      </c>
      <c r="C5" s="55">
        <v>882.71</v>
      </c>
      <c r="D5" s="56">
        <v>17.27</v>
      </c>
      <c r="E5" s="57">
        <v>53.86</v>
      </c>
      <c r="F5" s="57">
        <v>1022.51</v>
      </c>
      <c r="G5" s="57">
        <v>18.98</v>
      </c>
      <c r="M5" s="86" t="s">
        <v>49</v>
      </c>
      <c r="N5" s="86"/>
      <c r="O5" s="86"/>
      <c r="T5" s="86" t="s">
        <v>50</v>
      </c>
      <c r="U5" s="86"/>
      <c r="V5" s="86"/>
      <c r="W5" s="86"/>
    </row>
    <row r="6" spans="1:25" ht="16.2" thickBot="1">
      <c r="A6" s="53" t="s">
        <v>4</v>
      </c>
      <c r="B6" s="54">
        <v>34.799999999999997</v>
      </c>
      <c r="C6" s="55">
        <v>1535.3</v>
      </c>
      <c r="D6" s="56">
        <v>44.12</v>
      </c>
      <c r="E6" s="57">
        <v>42.69</v>
      </c>
      <c r="F6" s="57">
        <v>1920.96</v>
      </c>
      <c r="G6" s="57">
        <v>45</v>
      </c>
      <c r="K6" s="62"/>
      <c r="L6" s="60"/>
      <c r="M6" s="58"/>
      <c r="N6" s="58"/>
      <c r="O6" s="58"/>
      <c r="P6" s="61"/>
      <c r="Q6" s="61"/>
      <c r="S6" s="62"/>
      <c r="T6" s="59"/>
      <c r="U6" s="58"/>
      <c r="V6" s="58"/>
      <c r="W6" s="58"/>
      <c r="X6" s="61"/>
      <c r="Y6" s="61"/>
    </row>
    <row r="7" spans="1:25" ht="16.2" thickBot="1">
      <c r="A7" s="53" t="s">
        <v>5</v>
      </c>
      <c r="B7" s="54">
        <v>25.76</v>
      </c>
      <c r="C7" s="55">
        <v>587.41999999999996</v>
      </c>
      <c r="D7" s="56">
        <v>22.8</v>
      </c>
      <c r="E7" s="57">
        <v>23.91</v>
      </c>
      <c r="F7" s="57">
        <v>576.47</v>
      </c>
      <c r="G7" s="57">
        <v>24.11</v>
      </c>
      <c r="K7" s="63"/>
      <c r="L7" s="64"/>
      <c r="M7" s="64"/>
      <c r="N7" s="54"/>
      <c r="O7" s="54"/>
      <c r="P7" s="57"/>
      <c r="Q7" s="65"/>
      <c r="S7" s="63"/>
      <c r="T7" s="46"/>
      <c r="U7" s="64"/>
      <c r="V7" s="54"/>
      <c r="W7" s="54"/>
      <c r="X7" s="57"/>
      <c r="Y7" s="65"/>
    </row>
    <row r="8" spans="1:25" ht="16.2" thickBot="1">
      <c r="A8" s="53" t="s">
        <v>25</v>
      </c>
      <c r="B8" s="54">
        <v>64.69</v>
      </c>
      <c r="C8" s="55">
        <v>4185.5200000000004</v>
      </c>
      <c r="D8" s="56">
        <v>64.7</v>
      </c>
      <c r="E8" s="57">
        <v>59.9</v>
      </c>
      <c r="F8" s="57">
        <v>4025.28</v>
      </c>
      <c r="G8" s="57">
        <v>67.2</v>
      </c>
      <c r="K8" s="63"/>
      <c r="L8" s="64"/>
      <c r="M8" s="64"/>
      <c r="N8" s="54"/>
      <c r="O8" s="54"/>
      <c r="P8" s="57"/>
      <c r="Q8" s="65"/>
      <c r="S8" s="63"/>
      <c r="T8" s="46"/>
      <c r="U8" s="64"/>
      <c r="V8" s="54"/>
      <c r="W8" s="54"/>
      <c r="X8" s="57"/>
      <c r="Y8" s="65"/>
    </row>
    <row r="9" spans="1:25" ht="16.2" thickBot="1">
      <c r="A9" s="53" t="s">
        <v>6</v>
      </c>
      <c r="B9" s="54">
        <v>0.09</v>
      </c>
      <c r="C9" s="55">
        <v>0.42</v>
      </c>
      <c r="D9" s="56">
        <v>4.67</v>
      </c>
      <c r="E9" s="57">
        <v>0.06</v>
      </c>
      <c r="F9" s="57">
        <v>0.21</v>
      </c>
      <c r="G9" s="57">
        <v>3.5</v>
      </c>
      <c r="K9" s="63"/>
      <c r="L9" s="64"/>
      <c r="M9" s="64"/>
      <c r="N9" s="54"/>
      <c r="O9" s="54"/>
      <c r="P9" s="57"/>
      <c r="Q9" s="65"/>
      <c r="S9" s="63"/>
      <c r="T9" s="46"/>
      <c r="U9" s="64"/>
      <c r="V9" s="54"/>
      <c r="W9" s="54"/>
      <c r="X9" s="57"/>
      <c r="Y9" s="65"/>
    </row>
    <row r="10" spans="1:25" ht="16.2" thickBot="1">
      <c r="A10" s="53" t="s">
        <v>7</v>
      </c>
      <c r="B10" s="54">
        <v>12.53</v>
      </c>
      <c r="C10" s="55">
        <v>33.28</v>
      </c>
      <c r="D10" s="56">
        <v>2.66</v>
      </c>
      <c r="E10" s="57">
        <v>5.77</v>
      </c>
      <c r="F10" s="57">
        <v>42.38</v>
      </c>
      <c r="G10" s="57">
        <v>7.34</v>
      </c>
      <c r="K10" s="63"/>
      <c r="L10" s="64"/>
      <c r="M10" s="64"/>
      <c r="N10" s="54"/>
      <c r="O10" s="54"/>
      <c r="P10" s="57"/>
      <c r="Q10" s="65"/>
      <c r="S10" s="63"/>
      <c r="T10" s="46"/>
      <c r="U10" s="64"/>
      <c r="V10" s="54"/>
      <c r="W10" s="54"/>
      <c r="X10" s="57"/>
      <c r="Y10" s="65"/>
    </row>
    <row r="11" spans="1:25" ht="16.2" thickBot="1">
      <c r="A11" s="53" t="s">
        <v>8</v>
      </c>
      <c r="B11" s="54">
        <v>96.63</v>
      </c>
      <c r="C11" s="55">
        <v>2370.9499999999998</v>
      </c>
      <c r="D11" s="56">
        <v>24.54</v>
      </c>
      <c r="E11" s="57">
        <v>45.71</v>
      </c>
      <c r="F11" s="57">
        <v>1248.8900000000001</v>
      </c>
      <c r="G11" s="57">
        <v>27.32</v>
      </c>
      <c r="K11" s="63"/>
      <c r="L11" s="64"/>
      <c r="M11" s="64"/>
      <c r="N11" s="54"/>
      <c r="O11" s="54"/>
      <c r="P11" s="57"/>
      <c r="Q11" s="65"/>
      <c r="S11" s="63"/>
      <c r="T11" s="46"/>
      <c r="U11" s="64"/>
      <c r="V11" s="54"/>
      <c r="W11" s="54"/>
      <c r="X11" s="57"/>
      <c r="Y11" s="65"/>
    </row>
    <row r="12" spans="1:25" ht="16.2" thickBot="1">
      <c r="A12" s="53" t="s">
        <v>9</v>
      </c>
      <c r="B12" s="54">
        <v>84.56</v>
      </c>
      <c r="C12" s="55">
        <v>1292.4100000000001</v>
      </c>
      <c r="D12" s="56">
        <v>15.28</v>
      </c>
      <c r="E12" s="57">
        <v>47.95</v>
      </c>
      <c r="F12" s="57">
        <v>485.2</v>
      </c>
      <c r="G12" s="57">
        <v>10.119999999999999</v>
      </c>
      <c r="K12" s="63"/>
      <c r="L12" s="64"/>
      <c r="M12" s="64"/>
      <c r="N12" s="54"/>
      <c r="O12" s="54"/>
      <c r="P12" s="57"/>
      <c r="Q12" s="65"/>
      <c r="S12" s="63"/>
      <c r="T12" s="46"/>
      <c r="U12" s="64"/>
      <c r="V12" s="54"/>
      <c r="W12" s="54"/>
      <c r="X12" s="57"/>
      <c r="Y12" s="65"/>
    </row>
    <row r="13" spans="1:25" ht="16.2" thickBot="1">
      <c r="A13" s="53" t="s">
        <v>10</v>
      </c>
      <c r="B13" s="54">
        <v>28.35</v>
      </c>
      <c r="C13" s="55">
        <v>1758.05</v>
      </c>
      <c r="D13" s="56">
        <v>62.01</v>
      </c>
      <c r="E13" s="57">
        <v>34.869999999999997</v>
      </c>
      <c r="F13" s="57">
        <v>2463.36</v>
      </c>
      <c r="G13" s="57">
        <v>70.64</v>
      </c>
      <c r="K13" s="63"/>
      <c r="L13" s="66"/>
      <c r="M13" s="66"/>
      <c r="N13" s="66"/>
      <c r="O13" s="66"/>
      <c r="P13" s="66"/>
      <c r="Q13" s="67"/>
      <c r="S13" s="63"/>
      <c r="T13" s="66"/>
      <c r="U13" s="66"/>
      <c r="V13" s="66"/>
      <c r="W13" s="66"/>
      <c r="X13" s="66"/>
      <c r="Y13" s="67"/>
    </row>
    <row r="14" spans="1:25" ht="16.2" thickBot="1">
      <c r="A14" s="53" t="s">
        <v>11</v>
      </c>
      <c r="B14" s="54">
        <v>69.55</v>
      </c>
      <c r="C14" s="55">
        <v>3025.15</v>
      </c>
      <c r="D14" s="56">
        <v>43.5</v>
      </c>
      <c r="E14" s="57">
        <v>123.34</v>
      </c>
      <c r="F14" s="57">
        <v>7229.86</v>
      </c>
      <c r="G14" s="57">
        <v>58.62</v>
      </c>
    </row>
    <row r="15" spans="1:25" ht="16.2" thickBot="1">
      <c r="A15" s="53" t="s">
        <v>12</v>
      </c>
      <c r="B15" s="54">
        <v>6.95</v>
      </c>
      <c r="C15" s="55">
        <v>93.95</v>
      </c>
      <c r="D15" s="56">
        <v>13.52</v>
      </c>
      <c r="E15" s="57">
        <v>6.12</v>
      </c>
      <c r="F15" s="57">
        <v>81.41</v>
      </c>
      <c r="G15" s="57">
        <v>13.3</v>
      </c>
    </row>
    <row r="16" spans="1:25" ht="16.2" thickBot="1">
      <c r="A16" s="53" t="s">
        <v>13</v>
      </c>
      <c r="B16" s="54">
        <v>7.11</v>
      </c>
      <c r="C16" s="55">
        <v>88.71</v>
      </c>
      <c r="D16" s="56">
        <v>12.48</v>
      </c>
      <c r="E16" s="57">
        <v>7.95</v>
      </c>
      <c r="F16" s="57">
        <v>102.88</v>
      </c>
      <c r="G16" s="57">
        <v>12.94</v>
      </c>
    </row>
    <row r="17" spans="1:7" ht="16.2" thickBot="1">
      <c r="A17" s="53" t="s">
        <v>14</v>
      </c>
      <c r="B17" s="54">
        <v>10.91</v>
      </c>
      <c r="C17" s="55">
        <v>141.03</v>
      </c>
      <c r="D17" s="56">
        <v>12.93</v>
      </c>
      <c r="E17" s="57">
        <v>11.68</v>
      </c>
      <c r="F17" s="57">
        <v>140.5</v>
      </c>
      <c r="G17" s="57">
        <v>12.03</v>
      </c>
    </row>
    <row r="18" spans="1:7" ht="16.2" thickBot="1">
      <c r="A18" s="53" t="s">
        <v>15</v>
      </c>
      <c r="B18" s="54">
        <v>7.25</v>
      </c>
      <c r="C18" s="55">
        <v>108.51</v>
      </c>
      <c r="D18" s="56">
        <v>14.97</v>
      </c>
      <c r="E18" s="57">
        <v>7.3</v>
      </c>
      <c r="F18" s="57">
        <v>95.27</v>
      </c>
      <c r="G18" s="57">
        <v>13.05</v>
      </c>
    </row>
    <row r="19" spans="1:7" ht="16.2" thickBot="1">
      <c r="A19" s="53" t="s">
        <v>16</v>
      </c>
      <c r="B19" s="54">
        <v>24.47</v>
      </c>
      <c r="C19" s="55">
        <v>462.71</v>
      </c>
      <c r="D19" s="56">
        <v>18.91</v>
      </c>
      <c r="E19" s="57">
        <v>23.55</v>
      </c>
      <c r="F19" s="57">
        <v>508.67</v>
      </c>
      <c r="G19" s="57">
        <v>21.6</v>
      </c>
    </row>
    <row r="20" spans="1:7" ht="16.2" thickBot="1">
      <c r="A20" s="53" t="s">
        <v>17</v>
      </c>
      <c r="B20" s="54">
        <v>0.11</v>
      </c>
      <c r="C20" s="55">
        <v>6.43</v>
      </c>
      <c r="D20" s="56">
        <v>58.45</v>
      </c>
      <c r="E20" s="57">
        <v>0.24</v>
      </c>
      <c r="F20" s="57">
        <v>14.69</v>
      </c>
      <c r="G20" s="57">
        <v>61.21</v>
      </c>
    </row>
    <row r="21" spans="1:7" ht="16.2" thickBot="1">
      <c r="A21" s="53" t="s">
        <v>18</v>
      </c>
      <c r="B21" s="54">
        <v>0.03</v>
      </c>
      <c r="C21" s="55">
        <v>0.41</v>
      </c>
      <c r="D21" s="56">
        <v>13.67</v>
      </c>
      <c r="E21" s="57">
        <v>0.04</v>
      </c>
      <c r="F21" s="57">
        <v>0.35</v>
      </c>
      <c r="G21" s="57">
        <v>8.75</v>
      </c>
    </row>
    <row r="22" spans="1:7" ht="16.2" thickBot="1">
      <c r="A22" s="53" t="s">
        <v>19</v>
      </c>
      <c r="B22" s="54">
        <v>1.1499999999999999</v>
      </c>
      <c r="C22" s="55">
        <v>3.56</v>
      </c>
      <c r="D22" s="56">
        <v>3.1</v>
      </c>
      <c r="E22" s="57">
        <v>1.31</v>
      </c>
      <c r="F22" s="57">
        <v>5.56</v>
      </c>
      <c r="G22" s="57">
        <v>4.24</v>
      </c>
    </row>
    <row r="23" spans="1:7" ht="16.2" thickBot="1">
      <c r="A23" s="53" t="s">
        <v>20</v>
      </c>
      <c r="B23" s="54">
        <v>94.61</v>
      </c>
      <c r="C23" s="55">
        <v>4331.6499999999996</v>
      </c>
      <c r="D23" s="56">
        <v>45.78</v>
      </c>
      <c r="E23" s="57">
        <v>114.77</v>
      </c>
      <c r="F23" s="57">
        <v>4905.4799999999996</v>
      </c>
      <c r="G23" s="57">
        <v>42.74</v>
      </c>
    </row>
    <row r="24" spans="1:7" ht="16.2" thickBot="1">
      <c r="A24" s="53" t="s">
        <v>21</v>
      </c>
      <c r="B24" s="54">
        <v>4.6500000000000004</v>
      </c>
      <c r="C24" s="55">
        <v>183.7</v>
      </c>
      <c r="D24" s="56">
        <v>39.51</v>
      </c>
      <c r="E24" s="57">
        <v>1.83</v>
      </c>
      <c r="F24" s="57">
        <v>74.680000000000007</v>
      </c>
      <c r="G24" s="57">
        <v>40.81</v>
      </c>
    </row>
    <row r="25" spans="1:7" ht="16.2" thickBot="1">
      <c r="A25" s="53" t="s">
        <v>22</v>
      </c>
      <c r="B25" s="54">
        <v>14.62</v>
      </c>
      <c r="C25" s="55">
        <v>153.62</v>
      </c>
      <c r="D25" s="56">
        <v>10.51</v>
      </c>
      <c r="E25" s="57">
        <v>11.68</v>
      </c>
      <c r="F25" s="57">
        <v>114.34</v>
      </c>
      <c r="G25" s="57">
        <v>9.7899999999999991</v>
      </c>
    </row>
    <row r="26" spans="1:7" ht="16.2" thickBot="1">
      <c r="A26" s="53" t="s">
        <v>23</v>
      </c>
      <c r="B26" s="54">
        <v>67</v>
      </c>
      <c r="C26" s="55">
        <v>3061.21</v>
      </c>
      <c r="D26" s="56">
        <v>45.69</v>
      </c>
      <c r="E26" s="57">
        <v>93.29</v>
      </c>
      <c r="F26" s="57">
        <v>4757.84</v>
      </c>
      <c r="G26" s="57">
        <v>51</v>
      </c>
    </row>
    <row r="27" spans="1:7" ht="16.2" thickBot="1">
      <c r="A27" s="53" t="s">
        <v>24</v>
      </c>
      <c r="B27" s="54">
        <v>48.07</v>
      </c>
      <c r="C27" s="55">
        <v>1172.3399999999999</v>
      </c>
      <c r="D27" s="56">
        <v>24.39</v>
      </c>
      <c r="E27" s="57">
        <v>65.5</v>
      </c>
      <c r="F27" s="57">
        <v>1434.15</v>
      </c>
      <c r="G27" s="57">
        <v>21.9</v>
      </c>
    </row>
    <row r="28" spans="1:7" ht="16.2" thickBot="1">
      <c r="A28" s="53" t="s">
        <v>27</v>
      </c>
      <c r="B28" s="58">
        <v>836.13</v>
      </c>
      <c r="C28" s="58">
        <v>29081.3</v>
      </c>
      <c r="D28" s="59">
        <v>668.43</v>
      </c>
      <c r="E28" s="58">
        <v>897.77</v>
      </c>
      <c r="F28" s="58">
        <v>37999.870000000003</v>
      </c>
      <c r="G28" s="58">
        <v>710.96</v>
      </c>
    </row>
  </sheetData>
  <mergeCells count="5">
    <mergeCell ref="A1:A2"/>
    <mergeCell ref="B1:D1"/>
    <mergeCell ref="E1:G1"/>
    <mergeCell ref="M5:O5"/>
    <mergeCell ref="T5:W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665A-291C-4899-88AF-E26F596590D9}">
  <dimension ref="A1:P46"/>
  <sheetViews>
    <sheetView tabSelected="1" topLeftCell="A20" zoomScale="109" workbookViewId="0">
      <selection activeCell="G32" sqref="G32:G38"/>
    </sheetView>
  </sheetViews>
  <sheetFormatPr defaultRowHeight="14.4"/>
  <cols>
    <col min="1" max="1" width="16.77734375" bestFit="1" customWidth="1"/>
    <col min="3" max="3" width="10.33203125" bestFit="1" customWidth="1"/>
    <col min="4" max="4" width="11.21875" bestFit="1" customWidth="1"/>
    <col min="6" max="6" width="10.33203125" bestFit="1" customWidth="1"/>
    <col min="7" max="7" width="14.77734375" customWidth="1"/>
    <col min="9" max="9" width="10.33203125" bestFit="1" customWidth="1"/>
    <col min="10" max="10" width="11.21875" bestFit="1" customWidth="1"/>
    <col min="12" max="12" width="10.33203125" bestFit="1" customWidth="1"/>
    <col min="13" max="13" width="11.21875" bestFit="1" customWidth="1"/>
    <col min="15" max="15" width="10.33203125" bestFit="1" customWidth="1"/>
    <col min="16" max="16" width="11.21875" bestFit="1" customWidth="1"/>
  </cols>
  <sheetData>
    <row r="1" spans="1:16">
      <c r="A1" s="80" t="s">
        <v>0</v>
      </c>
      <c r="B1" s="81">
        <v>2005</v>
      </c>
      <c r="C1" s="81"/>
      <c r="D1" s="82"/>
      <c r="E1" s="83">
        <v>2010</v>
      </c>
      <c r="F1" s="84"/>
      <c r="G1" s="85"/>
      <c r="H1" s="83">
        <v>2015</v>
      </c>
      <c r="I1" s="84"/>
      <c r="J1" s="85"/>
      <c r="K1" s="83">
        <v>2020</v>
      </c>
      <c r="L1" s="84"/>
      <c r="M1" s="85"/>
      <c r="N1" s="86">
        <v>2024</v>
      </c>
      <c r="O1" s="86"/>
      <c r="P1" s="86"/>
    </row>
    <row r="2" spans="1:16">
      <c r="A2" s="80"/>
      <c r="B2" s="45" t="s">
        <v>49</v>
      </c>
      <c r="C2" s="5" t="s">
        <v>50</v>
      </c>
      <c r="D2" s="5" t="s">
        <v>51</v>
      </c>
      <c r="E2" s="40" t="s">
        <v>49</v>
      </c>
      <c r="F2" s="40" t="s">
        <v>50</v>
      </c>
      <c r="G2" s="40" t="s">
        <v>51</v>
      </c>
      <c r="H2" s="40" t="s">
        <v>49</v>
      </c>
      <c r="I2" s="40" t="s">
        <v>50</v>
      </c>
      <c r="J2" s="40" t="s">
        <v>51</v>
      </c>
      <c r="K2" s="40" t="s">
        <v>49</v>
      </c>
      <c r="L2" s="40" t="s">
        <v>50</v>
      </c>
      <c r="M2" s="40" t="s">
        <v>51</v>
      </c>
      <c r="N2" s="40" t="s">
        <v>49</v>
      </c>
      <c r="O2" s="40" t="s">
        <v>50</v>
      </c>
      <c r="P2" s="40" t="s">
        <v>51</v>
      </c>
    </row>
    <row r="3" spans="1:16" ht="15.6">
      <c r="A3" s="7" t="s">
        <v>11</v>
      </c>
      <c r="B3" s="47">
        <v>67.400000000000006</v>
      </c>
      <c r="C3" s="46">
        <v>4535</v>
      </c>
      <c r="D3" s="37">
        <v>67.284866468842722</v>
      </c>
      <c r="E3" s="47">
        <v>80.5</v>
      </c>
      <c r="F3" s="37">
        <v>4303</v>
      </c>
      <c r="G3" s="37">
        <v>53.453416149068325</v>
      </c>
      <c r="H3" s="48">
        <v>69.55</v>
      </c>
      <c r="I3" s="49">
        <v>3025.15</v>
      </c>
      <c r="J3" s="37">
        <v>43.496046010064703</v>
      </c>
      <c r="K3" s="48">
        <v>84.26</v>
      </c>
      <c r="L3" s="37">
        <v>4223.05</v>
      </c>
      <c r="M3" s="37">
        <v>50.119273676714926</v>
      </c>
      <c r="N3" s="50">
        <v>123.34</v>
      </c>
      <c r="O3" s="50">
        <v>7229.86</v>
      </c>
      <c r="P3" s="37">
        <v>58.617317982811734</v>
      </c>
    </row>
    <row r="4" spans="1:16" ht="15.6">
      <c r="A4" s="7" t="s">
        <v>1</v>
      </c>
      <c r="B4" s="47">
        <v>70.5</v>
      </c>
      <c r="C4" s="46">
        <v>1438.7</v>
      </c>
      <c r="D4" s="37">
        <v>20.407092198581562</v>
      </c>
      <c r="E4" s="47">
        <v>77.5</v>
      </c>
      <c r="F4" s="37">
        <v>2774.8</v>
      </c>
      <c r="G4" s="37">
        <v>35.803870967741936</v>
      </c>
      <c r="H4" s="48">
        <v>75.72</v>
      </c>
      <c r="I4" s="49">
        <v>3570.62</v>
      </c>
      <c r="J4" s="37">
        <v>47.155573164289486</v>
      </c>
      <c r="K4" s="48">
        <v>97.25</v>
      </c>
      <c r="L4" s="37">
        <v>5834.7</v>
      </c>
      <c r="M4" s="37">
        <v>59.996915167095111</v>
      </c>
      <c r="N4" s="50">
        <v>110.82</v>
      </c>
      <c r="O4" s="50">
        <v>6734.44</v>
      </c>
      <c r="P4" s="37">
        <v>60.769175239126511</v>
      </c>
    </row>
    <row r="5" spans="1:16" ht="15.6">
      <c r="A5" s="7" t="s">
        <v>20</v>
      </c>
      <c r="B5" s="47">
        <v>96.3</v>
      </c>
      <c r="C5" s="46">
        <v>3462</v>
      </c>
      <c r="D5" s="37">
        <v>35.950155763239877</v>
      </c>
      <c r="E5" s="47">
        <v>123.8</v>
      </c>
      <c r="F5" s="37">
        <f>(E5+G5)/2</f>
        <v>83.059783925686588</v>
      </c>
      <c r="G5" s="37">
        <v>42.319567851373186</v>
      </c>
      <c r="H5" s="48">
        <v>94.61</v>
      </c>
      <c r="I5" s="49">
        <v>4331.6499999999996</v>
      </c>
      <c r="J5" s="37">
        <v>45.784272275657962</v>
      </c>
      <c r="K5" s="48">
        <v>97.64</v>
      </c>
      <c r="L5" s="37">
        <v>3895.65</v>
      </c>
      <c r="M5" s="37">
        <v>39.898095043015161</v>
      </c>
      <c r="N5" s="50">
        <v>114.77</v>
      </c>
      <c r="O5" s="50">
        <v>4905.4799999999996</v>
      </c>
      <c r="P5" s="37">
        <v>42.741831489065085</v>
      </c>
    </row>
    <row r="6" spans="1:16" ht="15.6">
      <c r="A6" s="7" t="s">
        <v>23</v>
      </c>
      <c r="B6" s="47">
        <v>24.9</v>
      </c>
      <c r="C6" s="46">
        <v>1100</v>
      </c>
      <c r="D6" s="37">
        <v>44.176706827309239</v>
      </c>
      <c r="E6" s="47">
        <v>31.2</v>
      </c>
      <c r="F6" s="37">
        <v>1346.1</v>
      </c>
      <c r="G6" s="37">
        <v>43.144230769230766</v>
      </c>
      <c r="H6" s="48">
        <v>67</v>
      </c>
      <c r="I6" s="49">
        <v>3061.21</v>
      </c>
      <c r="J6" s="37">
        <v>45.689701492537317</v>
      </c>
      <c r="K6" s="48">
        <v>73.78</v>
      </c>
      <c r="L6" s="37">
        <v>3387.51</v>
      </c>
      <c r="M6" s="37">
        <v>45.913662239089184</v>
      </c>
      <c r="N6" s="50">
        <v>93.29</v>
      </c>
      <c r="O6" s="50">
        <v>4757.84</v>
      </c>
      <c r="P6" s="37">
        <v>51.000535963125735</v>
      </c>
    </row>
    <row r="7" spans="1:16" ht="15.6">
      <c r="A7" s="7" t="s">
        <v>25</v>
      </c>
      <c r="B7" s="47">
        <v>47.9</v>
      </c>
      <c r="C7" s="46">
        <v>1979</v>
      </c>
      <c r="D7" s="37">
        <v>41.315240083507305</v>
      </c>
      <c r="E7" s="47">
        <v>63.5</v>
      </c>
      <c r="F7" s="37">
        <v>3978</v>
      </c>
      <c r="G7" s="37">
        <v>62.645669291338585</v>
      </c>
      <c r="H7" s="48">
        <v>64.69</v>
      </c>
      <c r="I7" s="49">
        <v>4185.5200000000004</v>
      </c>
      <c r="J7" s="37">
        <v>64.701190292162636</v>
      </c>
      <c r="K7" s="48">
        <v>59.26</v>
      </c>
      <c r="L7" s="37">
        <v>3907.21</v>
      </c>
      <c r="M7" s="37">
        <v>65.933344583192707</v>
      </c>
      <c r="N7" s="50">
        <v>59.9</v>
      </c>
      <c r="O7" s="50">
        <v>4025.28</v>
      </c>
      <c r="P7" s="37">
        <v>67.2</v>
      </c>
    </row>
    <row r="8" spans="1:16" ht="15.6">
      <c r="A8" s="7" t="s">
        <v>10</v>
      </c>
      <c r="B8" s="47">
        <v>12.6</v>
      </c>
      <c r="C8" s="46">
        <v>750</v>
      </c>
      <c r="D8" s="37">
        <v>59.523809523809526</v>
      </c>
      <c r="E8" s="47">
        <v>36.9</v>
      </c>
      <c r="F8" s="37">
        <v>1719.6</v>
      </c>
      <c r="G8" s="37">
        <v>46.601626016260163</v>
      </c>
      <c r="H8" s="48">
        <v>28.35</v>
      </c>
      <c r="I8" s="49">
        <v>1758.05</v>
      </c>
      <c r="J8" s="37">
        <v>62.012345679012341</v>
      </c>
      <c r="K8" s="48">
        <v>29.48</v>
      </c>
      <c r="L8" s="37">
        <v>2025.46</v>
      </c>
      <c r="M8" s="37">
        <v>68.70624151967435</v>
      </c>
      <c r="N8" s="50">
        <v>34.869999999999997</v>
      </c>
      <c r="O8" s="50">
        <v>2463.36</v>
      </c>
      <c r="P8" s="37">
        <v>70.644106681961574</v>
      </c>
    </row>
    <row r="9" spans="1:16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9"/>
      <c r="M9" s="79"/>
      <c r="N9" s="79"/>
      <c r="O9" s="79"/>
      <c r="P9" s="79"/>
    </row>
    <row r="10" spans="1:16" ht="14.4" customHeight="1">
      <c r="A10" s="98" t="s">
        <v>0</v>
      </c>
      <c r="B10" s="83" t="s">
        <v>52</v>
      </c>
      <c r="C10" s="84"/>
      <c r="D10" s="84"/>
      <c r="E10" s="84"/>
      <c r="F10" s="85"/>
      <c r="G10" s="96" t="s">
        <v>55</v>
      </c>
      <c r="L10" s="77"/>
      <c r="M10" s="77"/>
      <c r="N10" s="77"/>
      <c r="O10" s="77"/>
      <c r="P10" s="77"/>
    </row>
    <row r="11" spans="1:16" ht="15.6" customHeight="1">
      <c r="A11" s="99"/>
      <c r="B11" s="40">
        <v>2005</v>
      </c>
      <c r="C11" s="40">
        <v>2010</v>
      </c>
      <c r="D11" s="40">
        <v>2015</v>
      </c>
      <c r="E11" s="40">
        <v>2020</v>
      </c>
      <c r="F11" s="40">
        <v>2024</v>
      </c>
      <c r="G11" s="97"/>
      <c r="L11" s="68"/>
      <c r="M11" s="68"/>
      <c r="N11" s="68"/>
      <c r="O11" s="68"/>
      <c r="P11" s="68"/>
    </row>
    <row r="12" spans="1:16" ht="15.6">
      <c r="A12" s="7" t="s">
        <v>11</v>
      </c>
      <c r="B12" s="47">
        <v>67.400000000000006</v>
      </c>
      <c r="C12" s="47">
        <v>80.5</v>
      </c>
      <c r="D12" s="48">
        <v>69.55</v>
      </c>
      <c r="E12" s="48">
        <v>84.26</v>
      </c>
      <c r="F12" s="50">
        <v>123.34</v>
      </c>
      <c r="G12" s="70">
        <f>((F12-E12)/E12)*100</f>
        <v>46.380251602183712</v>
      </c>
      <c r="L12" s="69"/>
      <c r="M12" s="69"/>
      <c r="N12" s="69"/>
      <c r="O12" s="69"/>
      <c r="P12" s="69"/>
    </row>
    <row r="13" spans="1:16" ht="15.6">
      <c r="A13" s="7" t="s">
        <v>1</v>
      </c>
      <c r="B13" s="47">
        <v>70.5</v>
      </c>
      <c r="C13" s="47">
        <v>77.5</v>
      </c>
      <c r="D13" s="48">
        <v>75.72</v>
      </c>
      <c r="E13" s="48">
        <v>97.25</v>
      </c>
      <c r="F13" s="50">
        <v>110.82</v>
      </c>
      <c r="G13" s="70">
        <f t="shared" ref="G13:G18" si="0">((F13-E13)/E13)*100</f>
        <v>13.953727506426727</v>
      </c>
      <c r="L13" s="69"/>
      <c r="M13" s="69"/>
      <c r="N13" s="69"/>
      <c r="O13" s="69"/>
      <c r="P13" s="69"/>
    </row>
    <row r="14" spans="1:16" ht="15.6">
      <c r="A14" s="7" t="s">
        <v>20</v>
      </c>
      <c r="B14" s="47">
        <v>96.3</v>
      </c>
      <c r="C14" s="47">
        <v>123.8</v>
      </c>
      <c r="D14" s="48">
        <v>94.61</v>
      </c>
      <c r="E14" s="48">
        <v>97.64</v>
      </c>
      <c r="F14" s="50">
        <v>114.77</v>
      </c>
      <c r="G14" s="70">
        <f t="shared" si="0"/>
        <v>17.544039328144198</v>
      </c>
      <c r="L14" s="69"/>
      <c r="M14" s="69"/>
      <c r="N14" s="69"/>
      <c r="O14" s="69"/>
      <c r="P14" s="69"/>
    </row>
    <row r="15" spans="1:16" ht="15.6">
      <c r="A15" s="7" t="s">
        <v>23</v>
      </c>
      <c r="B15" s="47">
        <v>24.9</v>
      </c>
      <c r="C15" s="47">
        <v>31.2</v>
      </c>
      <c r="D15" s="48">
        <v>67</v>
      </c>
      <c r="E15" s="48">
        <v>73.78</v>
      </c>
      <c r="F15" s="50">
        <v>93.29</v>
      </c>
      <c r="G15" s="70">
        <f t="shared" si="0"/>
        <v>26.443480618053677</v>
      </c>
      <c r="L15" s="69"/>
      <c r="M15" s="69"/>
      <c r="N15" s="69"/>
      <c r="O15" s="69"/>
      <c r="P15" s="69"/>
    </row>
    <row r="16" spans="1:16" ht="15.6">
      <c r="A16" s="7" t="s">
        <v>25</v>
      </c>
      <c r="B16" s="47">
        <v>47.9</v>
      </c>
      <c r="C16" s="47">
        <v>63.5</v>
      </c>
      <c r="D16" s="48">
        <v>64.69</v>
      </c>
      <c r="E16" s="48">
        <v>59.26</v>
      </c>
      <c r="F16" s="50">
        <v>59.9</v>
      </c>
      <c r="G16" s="70">
        <f t="shared" si="0"/>
        <v>1.079986500168749</v>
      </c>
      <c r="L16" s="69"/>
      <c r="M16" s="69"/>
      <c r="N16" s="69"/>
      <c r="O16" s="69"/>
      <c r="P16" s="69"/>
    </row>
    <row r="17" spans="1:16" ht="15.6">
      <c r="A17" s="7" t="s">
        <v>10</v>
      </c>
      <c r="B17" s="47">
        <v>12.6</v>
      </c>
      <c r="C17" s="47">
        <v>36.9</v>
      </c>
      <c r="D17" s="48">
        <v>28.35</v>
      </c>
      <c r="E17" s="48">
        <v>29.48</v>
      </c>
      <c r="F17" s="50">
        <v>34.869999999999997</v>
      </c>
      <c r="G17" s="70">
        <f t="shared" si="0"/>
        <v>18.283582089552226</v>
      </c>
      <c r="L17" s="69"/>
      <c r="M17" s="69"/>
      <c r="N17" s="69"/>
      <c r="O17" s="69"/>
      <c r="P17" s="69"/>
    </row>
    <row r="18" spans="1:16" ht="15.6">
      <c r="A18" s="7" t="s">
        <v>27</v>
      </c>
      <c r="B18" s="47">
        <f>SUM(B12:B17)</f>
        <v>319.59999999999997</v>
      </c>
      <c r="C18" s="47">
        <f t="shared" ref="C18:F18" si="1">SUM(C12:C17)</f>
        <v>413.4</v>
      </c>
      <c r="D18" s="47">
        <f t="shared" si="1"/>
        <v>399.92</v>
      </c>
      <c r="E18" s="47">
        <f t="shared" si="1"/>
        <v>441.66999999999996</v>
      </c>
      <c r="F18" s="47">
        <f t="shared" si="1"/>
        <v>536.99</v>
      </c>
      <c r="G18" s="70">
        <f t="shared" si="0"/>
        <v>21.58172391151766</v>
      </c>
      <c r="L18" s="69"/>
      <c r="M18" s="69"/>
      <c r="N18" s="69"/>
      <c r="O18" s="69"/>
      <c r="P18" s="69"/>
    </row>
    <row r="20" spans="1:16" ht="14.4" customHeight="1">
      <c r="B20" s="83" t="s">
        <v>53</v>
      </c>
      <c r="C20" s="84"/>
      <c r="D20" s="84"/>
      <c r="E20" s="84"/>
      <c r="F20" s="85"/>
    </row>
    <row r="21" spans="1:16" ht="14.4" customHeight="1">
      <c r="A21" s="72" t="s">
        <v>0</v>
      </c>
      <c r="B21" s="40">
        <v>2005</v>
      </c>
      <c r="C21" s="40">
        <v>2010</v>
      </c>
      <c r="D21" s="40">
        <v>2015</v>
      </c>
      <c r="E21" s="40">
        <v>2020</v>
      </c>
      <c r="F21" s="40">
        <v>2024</v>
      </c>
      <c r="G21" s="73" t="s">
        <v>55</v>
      </c>
    </row>
    <row r="22" spans="1:16" ht="15.6">
      <c r="A22" s="7" t="s">
        <v>11</v>
      </c>
      <c r="B22" s="46">
        <v>4535</v>
      </c>
      <c r="C22" s="37">
        <v>4303</v>
      </c>
      <c r="D22" s="49">
        <v>3025.15</v>
      </c>
      <c r="E22" s="37">
        <v>4223.05</v>
      </c>
      <c r="F22" s="50">
        <v>7229.86</v>
      </c>
      <c r="G22" s="70">
        <f>((F22-E22)/E22)*100</f>
        <v>71.199962112691054</v>
      </c>
    </row>
    <row r="23" spans="1:16" ht="15.6">
      <c r="A23" s="7" t="s">
        <v>1</v>
      </c>
      <c r="B23" s="46">
        <v>1438.7</v>
      </c>
      <c r="C23" s="37">
        <v>2774.8</v>
      </c>
      <c r="D23" s="49">
        <v>3570.62</v>
      </c>
      <c r="E23" s="37">
        <v>5834.7</v>
      </c>
      <c r="F23" s="50">
        <v>6734.44</v>
      </c>
      <c r="G23" s="70">
        <f t="shared" ref="G23:G28" si="2">((F23-E23)/E23)*100</f>
        <v>15.420501482509808</v>
      </c>
    </row>
    <row r="24" spans="1:16" ht="15.6">
      <c r="A24" s="7" t="s">
        <v>20</v>
      </c>
      <c r="B24" s="46">
        <v>3462</v>
      </c>
      <c r="C24" s="37">
        <f>(B24+D24)/2</f>
        <v>3896.8249999999998</v>
      </c>
      <c r="D24" s="49">
        <v>4331.6499999999996</v>
      </c>
      <c r="E24" s="37">
        <v>3895.65</v>
      </c>
      <c r="F24" s="50">
        <v>4905.4799999999996</v>
      </c>
      <c r="G24" s="70">
        <f t="shared" si="2"/>
        <v>25.92198991182471</v>
      </c>
    </row>
    <row r="25" spans="1:16" ht="15.6">
      <c r="A25" s="7" t="s">
        <v>23</v>
      </c>
      <c r="B25" s="46">
        <v>1100</v>
      </c>
      <c r="C25" s="37">
        <v>1346.1</v>
      </c>
      <c r="D25" s="49">
        <v>3061.21</v>
      </c>
      <c r="E25" s="37">
        <v>3387.51</v>
      </c>
      <c r="F25" s="50">
        <v>4757.84</v>
      </c>
      <c r="G25" s="70">
        <f t="shared" si="2"/>
        <v>40.452426708703435</v>
      </c>
    </row>
    <row r="26" spans="1:16" ht="15.6">
      <c r="A26" s="7" t="s">
        <v>25</v>
      </c>
      <c r="B26" s="46">
        <v>1979</v>
      </c>
      <c r="C26" s="37">
        <v>3978</v>
      </c>
      <c r="D26" s="49">
        <v>4185.5200000000004</v>
      </c>
      <c r="E26" s="37">
        <v>3907.21</v>
      </c>
      <c r="F26" s="50">
        <v>4025.28</v>
      </c>
      <c r="G26" s="70">
        <f t="shared" si="2"/>
        <v>3.0218493503036736</v>
      </c>
    </row>
    <row r="27" spans="1:16" ht="15.6">
      <c r="A27" s="7" t="s">
        <v>10</v>
      </c>
      <c r="B27" s="46">
        <v>750</v>
      </c>
      <c r="C27" s="37">
        <v>1719.6</v>
      </c>
      <c r="D27" s="49">
        <v>1758.05</v>
      </c>
      <c r="E27" s="37">
        <v>2025.46</v>
      </c>
      <c r="F27" s="50">
        <v>2463.36</v>
      </c>
      <c r="G27" s="70">
        <f t="shared" si="2"/>
        <v>21.619780198078466</v>
      </c>
    </row>
    <row r="28" spans="1:16" ht="15.6">
      <c r="A28" s="7" t="s">
        <v>27</v>
      </c>
      <c r="B28" s="46">
        <f>SUM(B21:B27)</f>
        <v>15269.7</v>
      </c>
      <c r="C28" s="46">
        <f t="shared" ref="C28:F28" si="3">SUM(C21:C27)</f>
        <v>20028.324999999997</v>
      </c>
      <c r="D28" s="46">
        <f t="shared" si="3"/>
        <v>21947.200000000001</v>
      </c>
      <c r="E28" s="46">
        <f t="shared" si="3"/>
        <v>25293.579999999998</v>
      </c>
      <c r="F28" s="46">
        <f t="shared" si="3"/>
        <v>32140.26</v>
      </c>
      <c r="G28" s="70">
        <f t="shared" si="2"/>
        <v>27.068845137778048</v>
      </c>
    </row>
    <row r="30" spans="1:16" ht="14.4" customHeight="1">
      <c r="B30" s="83" t="s">
        <v>54</v>
      </c>
      <c r="C30" s="84"/>
      <c r="D30" s="84"/>
      <c r="E30" s="84"/>
      <c r="F30" s="85"/>
    </row>
    <row r="31" spans="1:16" ht="14.4" customHeight="1">
      <c r="A31" s="72" t="s">
        <v>0</v>
      </c>
      <c r="B31" s="40">
        <v>2005</v>
      </c>
      <c r="C31" s="40">
        <v>2010</v>
      </c>
      <c r="D31" s="40">
        <v>2015</v>
      </c>
      <c r="E31" s="40">
        <v>2020</v>
      </c>
      <c r="F31" s="40">
        <v>2024</v>
      </c>
      <c r="G31" s="73" t="s">
        <v>55</v>
      </c>
    </row>
    <row r="32" spans="1:16" ht="15.6">
      <c r="A32" s="7" t="s">
        <v>11</v>
      </c>
      <c r="B32" s="37">
        <f>B22/B12</f>
        <v>67.284866468842722</v>
      </c>
      <c r="C32" s="37">
        <f t="shared" ref="C32:F32" si="4">C22/C12</f>
        <v>53.453416149068325</v>
      </c>
      <c r="D32" s="37">
        <f t="shared" si="4"/>
        <v>43.496046010064703</v>
      </c>
      <c r="E32" s="37">
        <f t="shared" si="4"/>
        <v>50.119273676714926</v>
      </c>
      <c r="F32" s="37">
        <f t="shared" si="4"/>
        <v>58.617317982811734</v>
      </c>
      <c r="G32" s="70">
        <f>((F32-E32)/E32)*100</f>
        <v>16.955641378428318</v>
      </c>
    </row>
    <row r="33" spans="1:7" ht="15.6">
      <c r="A33" s="7" t="s">
        <v>1</v>
      </c>
      <c r="B33" s="37">
        <f t="shared" ref="B33:F33" si="5">B23/B13</f>
        <v>20.407092198581562</v>
      </c>
      <c r="C33" s="37">
        <f t="shared" si="5"/>
        <v>35.803870967741936</v>
      </c>
      <c r="D33" s="37">
        <f t="shared" si="5"/>
        <v>47.155573164289486</v>
      </c>
      <c r="E33" s="37">
        <f t="shared" si="5"/>
        <v>59.996915167095111</v>
      </c>
      <c r="F33" s="37">
        <f t="shared" si="5"/>
        <v>60.769175239126511</v>
      </c>
      <c r="G33" s="70">
        <f t="shared" ref="G33:G38" si="6">((F33-E33)/E33)*100</f>
        <v>1.2871662982681835</v>
      </c>
    </row>
    <row r="34" spans="1:7" ht="15.6">
      <c r="A34" s="7" t="s">
        <v>20</v>
      </c>
      <c r="B34" s="37">
        <f t="shared" ref="B34:F34" si="7">B24/B14</f>
        <v>35.950155763239877</v>
      </c>
      <c r="C34" s="37">
        <f t="shared" si="7"/>
        <v>31.476777059773827</v>
      </c>
      <c r="D34" s="37">
        <f t="shared" si="7"/>
        <v>45.784272275657962</v>
      </c>
      <c r="E34" s="37">
        <f t="shared" si="7"/>
        <v>39.898095043015161</v>
      </c>
      <c r="F34" s="37">
        <f t="shared" si="7"/>
        <v>42.741831489065085</v>
      </c>
      <c r="G34" s="70">
        <f t="shared" si="6"/>
        <v>7.1274993028715246</v>
      </c>
    </row>
    <row r="35" spans="1:7" ht="15.6">
      <c r="A35" s="7" t="s">
        <v>23</v>
      </c>
      <c r="B35" s="37">
        <f t="shared" ref="B35:F35" si="8">B25/B15</f>
        <v>44.176706827309239</v>
      </c>
      <c r="C35" s="37">
        <f t="shared" si="8"/>
        <v>43.144230769230766</v>
      </c>
      <c r="D35" s="37">
        <f t="shared" si="8"/>
        <v>45.689701492537317</v>
      </c>
      <c r="E35" s="37">
        <f t="shared" si="8"/>
        <v>45.913662239089184</v>
      </c>
      <c r="F35" s="37">
        <f t="shared" si="8"/>
        <v>51.000535963125735</v>
      </c>
      <c r="G35" s="70">
        <f t="shared" si="6"/>
        <v>11.079215806282985</v>
      </c>
    </row>
    <row r="36" spans="1:7" ht="15.6">
      <c r="A36" s="7" t="s">
        <v>25</v>
      </c>
      <c r="B36" s="37">
        <f t="shared" ref="B36:F36" si="9">B26/B16</f>
        <v>41.315240083507305</v>
      </c>
      <c r="C36" s="37">
        <f t="shared" si="9"/>
        <v>62.645669291338585</v>
      </c>
      <c r="D36" s="37">
        <f t="shared" si="9"/>
        <v>64.701190292162636</v>
      </c>
      <c r="E36" s="37">
        <f t="shared" si="9"/>
        <v>65.933344583192707</v>
      </c>
      <c r="F36" s="37">
        <f t="shared" si="9"/>
        <v>67.2</v>
      </c>
      <c r="G36" s="70">
        <f t="shared" si="6"/>
        <v>1.9211150667612025</v>
      </c>
    </row>
    <row r="37" spans="1:7" ht="15.6">
      <c r="A37" s="7" t="s">
        <v>10</v>
      </c>
      <c r="B37" s="37">
        <f t="shared" ref="B37:F37" si="10">B27/B17</f>
        <v>59.523809523809526</v>
      </c>
      <c r="C37" s="37">
        <f t="shared" si="10"/>
        <v>46.601626016260163</v>
      </c>
      <c r="D37" s="37">
        <f t="shared" si="10"/>
        <v>62.012345679012341</v>
      </c>
      <c r="E37" s="37">
        <f t="shared" si="10"/>
        <v>68.70624151967435</v>
      </c>
      <c r="F37" s="37">
        <f t="shared" si="10"/>
        <v>70.644106681961574</v>
      </c>
      <c r="G37" s="70">
        <f t="shared" si="6"/>
        <v>2.8205081800789631</v>
      </c>
    </row>
    <row r="38" spans="1:7" ht="15.6">
      <c r="A38" s="7" t="s">
        <v>27</v>
      </c>
      <c r="B38" s="4">
        <f>SUM(B31:B37)</f>
        <v>2273.6578708652905</v>
      </c>
      <c r="C38" s="4">
        <f t="shared" ref="C38:F38" si="11">SUM(C31:C37)</f>
        <v>2283.1255902534135</v>
      </c>
      <c r="D38" s="4">
        <f t="shared" si="11"/>
        <v>2323.8391289137244</v>
      </c>
      <c r="E38" s="4">
        <f t="shared" si="11"/>
        <v>2350.5675322287811</v>
      </c>
      <c r="F38" s="4">
        <f t="shared" si="11"/>
        <v>2374.9729673560905</v>
      </c>
      <c r="G38" s="70">
        <f t="shared" si="6"/>
        <v>1.0382784069244937</v>
      </c>
    </row>
    <row r="39" spans="1:7">
      <c r="B39" s="6"/>
      <c r="C39" s="6"/>
      <c r="D39" s="6"/>
      <c r="E39" s="6"/>
      <c r="F39" s="6"/>
    </row>
    <row r="40" spans="1:7" ht="15.6">
      <c r="A40" s="74"/>
      <c r="B40" s="68"/>
      <c r="C40" s="68"/>
      <c r="D40" s="68"/>
      <c r="E40" s="68"/>
      <c r="F40" s="68"/>
      <c r="G40" s="75"/>
    </row>
    <row r="41" spans="1:7" ht="15.6">
      <c r="A41" s="38"/>
      <c r="B41" s="76"/>
      <c r="C41" s="76"/>
      <c r="D41" s="76"/>
      <c r="E41" s="76"/>
      <c r="F41" s="76"/>
      <c r="G41" s="71"/>
    </row>
    <row r="42" spans="1:7" ht="15.6">
      <c r="A42" s="38"/>
      <c r="B42" s="76"/>
      <c r="C42" s="76"/>
      <c r="D42" s="76"/>
      <c r="E42" s="76"/>
      <c r="F42" s="76"/>
      <c r="G42" s="71"/>
    </row>
    <row r="43" spans="1:7" ht="15.6">
      <c r="A43" s="38"/>
      <c r="B43" s="76"/>
      <c r="C43" s="76"/>
      <c r="D43" s="76"/>
      <c r="E43" s="76"/>
      <c r="F43" s="76"/>
      <c r="G43" s="71"/>
    </row>
    <row r="44" spans="1:7" ht="15.6">
      <c r="A44" s="38"/>
      <c r="B44" s="76"/>
      <c r="C44" s="76"/>
      <c r="D44" s="76"/>
      <c r="E44" s="76"/>
      <c r="F44" s="76"/>
      <c r="G44" s="71"/>
    </row>
    <row r="45" spans="1:7" ht="15.6">
      <c r="A45" s="38"/>
      <c r="B45" s="76"/>
      <c r="C45" s="76"/>
      <c r="D45" s="76"/>
      <c r="E45" s="76"/>
      <c r="F45" s="76"/>
      <c r="G45" s="71"/>
    </row>
    <row r="46" spans="1:7" ht="15.6">
      <c r="A46" s="38"/>
      <c r="B46" s="76"/>
      <c r="C46" s="76"/>
      <c r="D46" s="76"/>
      <c r="E46" s="76"/>
      <c r="F46" s="76"/>
      <c r="G46" s="71"/>
    </row>
  </sheetData>
  <mergeCells count="12">
    <mergeCell ref="B30:F30"/>
    <mergeCell ref="B10:F10"/>
    <mergeCell ref="B20:F20"/>
    <mergeCell ref="G10:G11"/>
    <mergeCell ref="L10:P10"/>
    <mergeCell ref="A9:P9"/>
    <mergeCell ref="A1:A2"/>
    <mergeCell ref="B1:D1"/>
    <mergeCell ref="E1:G1"/>
    <mergeCell ref="H1:J1"/>
    <mergeCell ref="K1:M1"/>
    <mergeCell ref="N1:P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696E-FE17-44D2-9FBE-1D0A8448B19F}">
  <dimension ref="A1:G14"/>
  <sheetViews>
    <sheetView workbookViewId="0"/>
  </sheetViews>
  <sheetFormatPr defaultRowHeight="14.4"/>
  <cols>
    <col min="1" max="1" width="60.77734375" bestFit="1" customWidth="1"/>
    <col min="2" max="2" width="7.5546875" bestFit="1" customWidth="1"/>
    <col min="3" max="3" width="13.109375" customWidth="1"/>
    <col min="4" max="4" width="19.6640625" customWidth="1"/>
    <col min="6" max="6" width="17.6640625" customWidth="1"/>
    <col min="7" max="7" width="25.21875" customWidth="1"/>
  </cols>
  <sheetData>
    <row r="1" spans="1:7" ht="93" thickBot="1">
      <c r="A1" s="23"/>
      <c r="B1" s="24"/>
      <c r="C1" s="24"/>
      <c r="D1" s="24"/>
      <c r="E1" s="24"/>
      <c r="F1" s="24"/>
      <c r="G1" s="24"/>
    </row>
    <row r="2" spans="1:7" ht="93" thickBot="1">
      <c r="A2" s="25"/>
      <c r="B2" s="26"/>
      <c r="C2" s="26"/>
      <c r="D2" s="26"/>
      <c r="E2" s="26"/>
      <c r="F2" s="26"/>
      <c r="G2" s="26"/>
    </row>
    <row r="3" spans="1:7" ht="93" thickBot="1">
      <c r="A3" s="25"/>
      <c r="B3" s="26"/>
      <c r="C3" s="26"/>
      <c r="D3" s="26"/>
      <c r="E3" s="26"/>
      <c r="F3" s="26"/>
      <c r="G3" s="26"/>
    </row>
    <row r="4" spans="1:7" ht="93" thickBot="1">
      <c r="A4" s="25"/>
      <c r="B4" s="26"/>
      <c r="C4" s="26"/>
      <c r="D4" s="26"/>
      <c r="E4" s="26"/>
      <c r="F4" s="26"/>
      <c r="G4" s="26"/>
    </row>
    <row r="5" spans="1:7" ht="93" thickBot="1">
      <c r="A5" s="25"/>
      <c r="B5" s="26"/>
      <c r="C5" s="26"/>
      <c r="D5" s="26"/>
      <c r="E5" s="26"/>
      <c r="F5" s="26"/>
      <c r="G5" s="26"/>
    </row>
    <row r="6" spans="1:7" ht="93" thickBot="1">
      <c r="A6" s="25"/>
      <c r="B6" s="26"/>
      <c r="C6" s="26"/>
      <c r="D6" s="26"/>
      <c r="E6" s="26"/>
      <c r="F6" s="26"/>
      <c r="G6" s="26"/>
    </row>
    <row r="7" spans="1:7" ht="93" thickBot="1">
      <c r="A7" s="25"/>
      <c r="B7" s="26"/>
      <c r="C7" s="26"/>
      <c r="D7" s="26"/>
      <c r="E7" s="26"/>
      <c r="F7" s="26"/>
      <c r="G7" s="26"/>
    </row>
    <row r="8" spans="1:7" ht="93" thickBot="1">
      <c r="A8" s="25"/>
      <c r="B8" s="26"/>
      <c r="C8" s="26"/>
      <c r="D8" s="26"/>
      <c r="E8" s="26"/>
      <c r="F8" s="26"/>
      <c r="G8" s="26"/>
    </row>
    <row r="9" spans="1:7" ht="93" thickBot="1">
      <c r="A9" s="25"/>
      <c r="B9" s="26"/>
      <c r="C9" s="26"/>
      <c r="D9" s="26"/>
      <c r="E9" s="26"/>
      <c r="F9" s="26"/>
      <c r="G9" s="26"/>
    </row>
    <row r="10" spans="1:7" ht="93" thickBot="1">
      <c r="A10" s="25"/>
      <c r="B10" s="26"/>
      <c r="C10" s="26"/>
      <c r="D10" s="26"/>
      <c r="E10" s="26"/>
      <c r="F10" s="26"/>
      <c r="G10" s="26"/>
    </row>
    <row r="11" spans="1:7" ht="93" thickBot="1">
      <c r="A11" s="25"/>
      <c r="B11" s="26"/>
      <c r="C11" s="26"/>
      <c r="D11" s="26"/>
      <c r="E11" s="26"/>
      <c r="F11" s="26"/>
      <c r="G11" s="26"/>
    </row>
    <row r="12" spans="1:7" ht="93" thickBot="1">
      <c r="A12" s="25"/>
      <c r="B12" s="26"/>
      <c r="C12" s="26"/>
      <c r="D12" s="26"/>
      <c r="E12" s="26"/>
      <c r="F12" s="26"/>
      <c r="G12" s="26"/>
    </row>
    <row r="13" spans="1:7" ht="93" thickBot="1">
      <c r="A13" s="23"/>
      <c r="B13" s="26"/>
      <c r="C13" s="26"/>
      <c r="D13" s="26"/>
      <c r="E13" s="26"/>
      <c r="F13" s="26"/>
      <c r="G13" s="26"/>
    </row>
    <row r="14" spans="1:7" ht="93" thickBot="1">
      <c r="A14" s="27"/>
      <c r="B14" s="28"/>
      <c r="C14" s="28"/>
      <c r="D14" s="28"/>
      <c r="E14" s="28"/>
      <c r="F14" s="28"/>
      <c r="G14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Area</vt:lpstr>
      <vt:lpstr>producation</vt:lpstr>
      <vt:lpstr>Productivity</vt:lpstr>
      <vt:lpstr>pareto</vt:lpstr>
      <vt:lpstr>Decade</vt:lpstr>
      <vt:lpstr>5_Years_data</vt:lpstr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 Kshirsagar</dc:creator>
  <cp:lastModifiedBy>VINAY</cp:lastModifiedBy>
  <dcterms:created xsi:type="dcterms:W3CDTF">2026-03-04T10:28:34Z</dcterms:created>
  <dcterms:modified xsi:type="dcterms:W3CDTF">2026-03-27T16:35:30Z</dcterms:modified>
</cp:coreProperties>
</file>