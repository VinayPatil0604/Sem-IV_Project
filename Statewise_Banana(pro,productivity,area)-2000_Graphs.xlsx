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roject\Sem-IV\Datasets\"/>
    </mc:Choice>
  </mc:AlternateContent>
  <xr:revisionPtr revIDLastSave="0" documentId="13_ncr:1_{13781252-1455-4419-9DD0-9E4697E5CB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1" l="1"/>
  <c r="W29" i="1"/>
  <c r="I32" i="1"/>
  <c r="Q11" i="1"/>
  <c r="Q12" i="1"/>
  <c r="Q5" i="1"/>
  <c r="Q6" i="1"/>
  <c r="Q7" i="1"/>
  <c r="Q8" i="1"/>
  <c r="Q9" i="1"/>
  <c r="Q10" i="1"/>
  <c r="Q4" i="1"/>
  <c r="Q3" i="1"/>
  <c r="P4" i="1"/>
  <c r="P5" i="1"/>
  <c r="P6" i="1"/>
  <c r="P7" i="1"/>
  <c r="P8" i="1"/>
  <c r="P9" i="1"/>
  <c r="P10" i="1"/>
  <c r="P11" i="1"/>
  <c r="P12" i="1"/>
  <c r="P13" i="1"/>
  <c r="P14" i="1"/>
  <c r="P3" i="1"/>
  <c r="M4" i="1"/>
  <c r="M5" i="1"/>
  <c r="M6" i="1"/>
  <c r="M7" i="1"/>
  <c r="M8" i="1"/>
  <c r="M9" i="1"/>
  <c r="M10" i="1"/>
  <c r="M11" i="1"/>
  <c r="M12" i="1"/>
  <c r="M13" i="1"/>
  <c r="M14" i="1"/>
  <c r="M3" i="1"/>
  <c r="J4" i="1"/>
  <c r="J5" i="1"/>
  <c r="J6" i="1"/>
  <c r="J7" i="1"/>
  <c r="J8" i="1"/>
  <c r="J9" i="1"/>
  <c r="J10" i="1"/>
  <c r="J11" i="1"/>
  <c r="J12" i="1"/>
  <c r="J13" i="1"/>
  <c r="J14" i="1"/>
  <c r="J3" i="1"/>
  <c r="E13" i="1"/>
  <c r="G6" i="1"/>
  <c r="G12" i="1"/>
  <c r="G8" i="1"/>
  <c r="G9" i="1"/>
  <c r="G10" i="1"/>
  <c r="G11" i="1"/>
  <c r="G7" i="1"/>
  <c r="G4" i="1"/>
  <c r="G5" i="1"/>
  <c r="G3" i="1"/>
  <c r="C14" i="1"/>
  <c r="B14" i="1"/>
  <c r="D4" i="1"/>
  <c r="D5" i="1"/>
  <c r="D6" i="1"/>
  <c r="D7" i="1"/>
  <c r="D8" i="1"/>
  <c r="D9" i="1"/>
  <c r="D10" i="1"/>
  <c r="D11" i="1"/>
  <c r="D12" i="1"/>
  <c r="D13" i="1"/>
  <c r="D3" i="1"/>
  <c r="G13" i="1" l="1"/>
  <c r="D14" i="1"/>
  <c r="Q14" i="1"/>
</calcChain>
</file>

<file path=xl/sharedStrings.xml><?xml version="1.0" encoding="utf-8"?>
<sst xmlns="http://schemas.openxmlformats.org/spreadsheetml/2006/main" count="75" uniqueCount="24">
  <si>
    <t>Andhra Pradesh</t>
  </si>
  <si>
    <t>Assam</t>
  </si>
  <si>
    <t>Bihar</t>
  </si>
  <si>
    <t>Chhatisgarh</t>
  </si>
  <si>
    <t>Gujrat</t>
  </si>
  <si>
    <t>Karnataka</t>
  </si>
  <si>
    <t>Kerla</t>
  </si>
  <si>
    <t>Madhya Pradesh</t>
  </si>
  <si>
    <t>Maharashtra</t>
  </si>
  <si>
    <t>Odisha</t>
  </si>
  <si>
    <t>Other States</t>
  </si>
  <si>
    <t>Total</t>
  </si>
  <si>
    <t>States</t>
  </si>
  <si>
    <t>Area</t>
  </si>
  <si>
    <t>Producation</t>
  </si>
  <si>
    <t>Productivity</t>
  </si>
  <si>
    <t>Area in'000 Hectares(Ha), Production in '000 MT, Productivity in MT/Ha</t>
  </si>
  <si>
    <t>Growth Rate(Production)</t>
  </si>
  <si>
    <t>Area wise change</t>
  </si>
  <si>
    <t>Production wise change</t>
  </si>
  <si>
    <t>Production (in 000 MT)</t>
  </si>
  <si>
    <t>Productivity wise change</t>
  </si>
  <si>
    <t>Productivity (in MT/Ha)</t>
  </si>
  <si>
    <t>Area (in'000 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</si>
</sst>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0" fillId="0" borderId="1" xfId="0" applyBorder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b="1">
                <a:solidFill>
                  <a:schemeClr val="tx1"/>
                </a:solidFill>
              </a:rPr>
              <a:t>Banana Cultivation in India </a:t>
            </a:r>
          </a:p>
        </c:rich>
      </c:tx>
      <c:layout>
        <c:manualLayout>
          <c:xMode val="edge"/>
          <c:yMode val="edge"/>
          <c:x val="0.32723437453035331"/>
          <c:y val="2.67096451262609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452586857263432E-2"/>
          <c:y val="0.16511012295550284"/>
          <c:w val="0.88465677823342392"/>
          <c:h val="0.449784815601797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Sheet1!$B$20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Sheet1!$A$21:$A$31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Sheet1!$B$21:$B$31</c:f>
              <c:numCache>
                <c:formatCode>General</c:formatCode>
                <c:ptCount val="11"/>
                <c:pt idx="0">
                  <c:v>50.5</c:v>
                </c:pt>
                <c:pt idx="1">
                  <c:v>43.6</c:v>
                </c:pt>
                <c:pt idx="2">
                  <c:v>27.2</c:v>
                </c:pt>
                <c:pt idx="3">
                  <c:v>20</c:v>
                </c:pt>
                <c:pt idx="4">
                  <c:v>33.1</c:v>
                </c:pt>
                <c:pt idx="5">
                  <c:v>53.8</c:v>
                </c:pt>
                <c:pt idx="6">
                  <c:v>28.1</c:v>
                </c:pt>
                <c:pt idx="7">
                  <c:v>18.2</c:v>
                </c:pt>
                <c:pt idx="8">
                  <c:v>59.7</c:v>
                </c:pt>
                <c:pt idx="9">
                  <c:v>18</c:v>
                </c:pt>
                <c:pt idx="10">
                  <c:v>67.2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6-4099-BC2B-BCF72909502A}"/>
            </c:ext>
          </c:extLst>
        </c:ser>
        <c:ser>
          <c:idx val="1"/>
          <c:order val="1"/>
          <c:tx>
            <c:strRef>
              <c:f>Sheet1!$C$20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Sheet1!$A$21:$A$31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Sheet1!$C$21:$C$31</c:f>
              <c:numCache>
                <c:formatCode>General</c:formatCode>
                <c:ptCount val="11"/>
                <c:pt idx="0">
                  <c:v>61.1</c:v>
                </c:pt>
                <c:pt idx="1">
                  <c:v>28</c:v>
                </c:pt>
                <c:pt idx="2">
                  <c:v>28</c:v>
                </c:pt>
                <c:pt idx="3">
                  <c:v>22</c:v>
                </c:pt>
                <c:pt idx="4">
                  <c:v>49.2</c:v>
                </c:pt>
                <c:pt idx="5">
                  <c:v>56.4</c:v>
                </c:pt>
                <c:pt idx="6">
                  <c:v>56.2</c:v>
                </c:pt>
                <c:pt idx="7">
                  <c:v>15.4</c:v>
                </c:pt>
                <c:pt idx="8">
                  <c:v>73.2</c:v>
                </c:pt>
                <c:pt idx="9">
                  <c:v>20</c:v>
                </c:pt>
                <c:pt idx="10">
                  <c:v>89.100000000000023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A6-4099-BC2B-BCF72909502A}"/>
            </c:ext>
          </c:extLst>
        </c:ser>
        <c:ser>
          <c:idx val="2"/>
          <c:order val="2"/>
          <c:tx>
            <c:strRef>
              <c:f>Sheet1!$D$20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Sheet1!$A$21:$A$31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Sheet1!$D$21:$D$31</c:f>
              <c:numCache>
                <c:formatCode>General</c:formatCode>
                <c:ptCount val="11"/>
                <c:pt idx="0">
                  <c:v>79.3</c:v>
                </c:pt>
                <c:pt idx="1">
                  <c:v>47.6</c:v>
                </c:pt>
                <c:pt idx="2">
                  <c:v>31.9</c:v>
                </c:pt>
                <c:pt idx="3">
                  <c:v>25</c:v>
                </c:pt>
                <c:pt idx="4">
                  <c:v>64.7</c:v>
                </c:pt>
                <c:pt idx="5">
                  <c:v>111.8</c:v>
                </c:pt>
                <c:pt idx="6">
                  <c:v>125.4</c:v>
                </c:pt>
                <c:pt idx="7">
                  <c:v>38.1</c:v>
                </c:pt>
                <c:pt idx="8">
                  <c:v>82</c:v>
                </c:pt>
                <c:pt idx="9">
                  <c:v>26.9</c:v>
                </c:pt>
                <c:pt idx="10">
                  <c:v>175.3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A6-4099-BC2B-BCF72909502A}"/>
            </c:ext>
          </c:extLst>
        </c:ser>
        <c:ser>
          <c:idx val="3"/>
          <c:order val="3"/>
          <c:tx>
            <c:strRef>
              <c:f>Sheet1!$E$20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Sheet1!$A$21:$A$31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Sheet1!$E$21:$E$31</c:f>
              <c:numCache>
                <c:formatCode>General</c:formatCode>
                <c:ptCount val="11"/>
                <c:pt idx="0">
                  <c:v>88.96</c:v>
                </c:pt>
                <c:pt idx="1">
                  <c:v>53.08</c:v>
                </c:pt>
                <c:pt idx="2">
                  <c:v>31.07</c:v>
                </c:pt>
                <c:pt idx="3">
                  <c:v>26.57</c:v>
                </c:pt>
                <c:pt idx="4">
                  <c:v>68.150000000000006</c:v>
                </c:pt>
                <c:pt idx="5">
                  <c:v>110.55</c:v>
                </c:pt>
                <c:pt idx="6">
                  <c:v>109.26</c:v>
                </c:pt>
                <c:pt idx="7">
                  <c:v>26.38</c:v>
                </c:pt>
                <c:pt idx="8">
                  <c:v>80.88</c:v>
                </c:pt>
                <c:pt idx="9">
                  <c:v>24.2</c:v>
                </c:pt>
                <c:pt idx="10">
                  <c:v>264.89999999999998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A6-4099-BC2B-BCF72909502A}"/>
            </c:ext>
          </c:extLst>
        </c:ser>
        <c:ser>
          <c:idx val="4"/>
          <c:order val="4"/>
          <c:tx>
            <c:strRef>
              <c:f>Sheet1!$F$20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Sheet1!$A$21:$A$31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Sheet1!$F$21:$F$31</c:f>
              <c:numCache>
                <c:formatCode>General</c:formatCode>
                <c:ptCount val="11"/>
                <c:pt idx="0">
                  <c:v>107.41</c:v>
                </c:pt>
                <c:pt idx="1">
                  <c:v>58.14</c:v>
                </c:pt>
                <c:pt idx="2">
                  <c:v>37.409999999999997</c:v>
                </c:pt>
                <c:pt idx="3">
                  <c:v>21.16</c:v>
                </c:pt>
                <c:pt idx="4">
                  <c:v>71.37</c:v>
                </c:pt>
                <c:pt idx="5">
                  <c:v>113.79</c:v>
                </c:pt>
                <c:pt idx="6">
                  <c:v>124.53</c:v>
                </c:pt>
                <c:pt idx="7">
                  <c:v>30.75</c:v>
                </c:pt>
                <c:pt idx="8">
                  <c:v>99.78</c:v>
                </c:pt>
                <c:pt idx="9">
                  <c:v>20.27</c:v>
                </c:pt>
                <c:pt idx="10">
                  <c:v>302.39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A6-4099-BC2B-BCF729095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685071"/>
        <c:axId val="1569669711"/>
      </c:barChart>
      <c:catAx>
        <c:axId val="1569685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b="1"/>
                  <a:t>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69669711"/>
        <c:crosses val="autoZero"/>
        <c:auto val="1"/>
        <c:lblAlgn val="ctr"/>
        <c:lblOffset val="100"/>
        <c:noMultiLvlLbl val="0"/>
      </c:catAx>
      <c:valAx>
        <c:axId val="156966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Area (in '000 Ha)</a:t>
                </a:r>
              </a:p>
            </c:rich>
          </c:tx>
          <c:layout>
            <c:manualLayout>
              <c:xMode val="edge"/>
              <c:yMode val="edge"/>
              <c:x val="7.5908591549118777E-3"/>
              <c:y val="0.24811773961813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6968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5049052616436129"/>
          <c:y val="0.15620690791341588"/>
          <c:w val="0.51231283852885057"/>
          <c:h val="7.5121402698024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b="1"/>
              <a:t>Banana Production in India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25552595150559"/>
          <c:y val="0.17171296296296296"/>
          <c:w val="0.86795052319783284"/>
          <c:h val="0.550908206698746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Sheet1!$I$20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Sheet1!$H$21:$H$31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Sheet1!$I$21:$I$31</c:f>
              <c:numCache>
                <c:formatCode>General</c:formatCode>
                <c:ptCount val="11"/>
                <c:pt idx="0">
                  <c:v>1111.2</c:v>
                </c:pt>
                <c:pt idx="1">
                  <c:v>605.9</c:v>
                </c:pt>
                <c:pt idx="2">
                  <c:v>544.9</c:v>
                </c:pt>
                <c:pt idx="3">
                  <c:v>400</c:v>
                </c:pt>
                <c:pt idx="4">
                  <c:v>1154.3</c:v>
                </c:pt>
                <c:pt idx="5">
                  <c:v>1277.5999999999999</c:v>
                </c:pt>
                <c:pt idx="6">
                  <c:v>395.4</c:v>
                </c:pt>
                <c:pt idx="7">
                  <c:v>736.5</c:v>
                </c:pt>
                <c:pt idx="8">
                  <c:v>3924.1</c:v>
                </c:pt>
                <c:pt idx="9">
                  <c:v>350</c:v>
                </c:pt>
                <c:pt idx="10">
                  <c:v>916.2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EF-45A9-AF26-E969C8AB5548}"/>
            </c:ext>
          </c:extLst>
        </c:ser>
        <c:ser>
          <c:idx val="1"/>
          <c:order val="1"/>
          <c:tx>
            <c:strRef>
              <c:f>Sheet1!$J$20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Sheet1!$H$21:$H$31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Sheet1!$J$21:$J$31</c:f>
              <c:numCache>
                <c:formatCode>General</c:formatCode>
                <c:ptCount val="11"/>
                <c:pt idx="0">
                  <c:v>1528.7</c:v>
                </c:pt>
                <c:pt idx="1">
                  <c:v>959.3</c:v>
                </c:pt>
                <c:pt idx="2">
                  <c:v>959.3</c:v>
                </c:pt>
                <c:pt idx="3">
                  <c:v>440</c:v>
                </c:pt>
                <c:pt idx="4">
                  <c:v>2498.8000000000002</c:v>
                </c:pt>
                <c:pt idx="5">
                  <c:v>1399.1</c:v>
                </c:pt>
                <c:pt idx="6">
                  <c:v>443.1</c:v>
                </c:pt>
                <c:pt idx="7">
                  <c:v>615.6</c:v>
                </c:pt>
                <c:pt idx="8">
                  <c:v>4608.5</c:v>
                </c:pt>
                <c:pt idx="9">
                  <c:v>380</c:v>
                </c:pt>
                <c:pt idx="10">
                  <c:v>968.5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EF-45A9-AF26-E969C8AB5548}"/>
            </c:ext>
          </c:extLst>
        </c:ser>
        <c:ser>
          <c:idx val="2"/>
          <c:order val="2"/>
          <c:tx>
            <c:strRef>
              <c:f>Sheet1!$K$20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Sheet1!$H$21:$H$31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Sheet1!$K$21:$K$31</c:f>
              <c:numCache>
                <c:formatCode>General</c:formatCode>
                <c:ptCount val="11"/>
                <c:pt idx="0">
                  <c:v>2774.8</c:v>
                </c:pt>
                <c:pt idx="1">
                  <c:v>723.6</c:v>
                </c:pt>
                <c:pt idx="2">
                  <c:v>1517.1</c:v>
                </c:pt>
                <c:pt idx="3">
                  <c:v>500</c:v>
                </c:pt>
                <c:pt idx="4">
                  <c:v>3978</c:v>
                </c:pt>
                <c:pt idx="5">
                  <c:v>2281.6</c:v>
                </c:pt>
                <c:pt idx="6">
                  <c:v>825.3</c:v>
                </c:pt>
                <c:pt idx="7">
                  <c:v>1719.6</c:v>
                </c:pt>
                <c:pt idx="8">
                  <c:v>4303</c:v>
                </c:pt>
                <c:pt idx="9">
                  <c:v>488.7</c:v>
                </c:pt>
                <c:pt idx="10">
                  <c:v>1873.1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EF-45A9-AF26-E969C8AB5548}"/>
            </c:ext>
          </c:extLst>
        </c:ser>
        <c:ser>
          <c:idx val="3"/>
          <c:order val="3"/>
          <c:tx>
            <c:strRef>
              <c:f>Sheet1!$L$20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Sheet1!$H$21:$H$31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Sheet1!$L$21:$L$31</c:f>
              <c:numCache>
                <c:formatCode>General</c:formatCode>
                <c:ptCount val="11"/>
                <c:pt idx="0">
                  <c:v>5003.07</c:v>
                </c:pt>
                <c:pt idx="1">
                  <c:v>913.27</c:v>
                </c:pt>
                <c:pt idx="2">
                  <c:v>1396.39</c:v>
                </c:pt>
                <c:pt idx="3">
                  <c:v>745.78</c:v>
                </c:pt>
                <c:pt idx="4">
                  <c:v>4472.32</c:v>
                </c:pt>
                <c:pt idx="5">
                  <c:v>2328.9</c:v>
                </c:pt>
                <c:pt idx="6">
                  <c:v>1119.1600000000001</c:v>
                </c:pt>
                <c:pt idx="7">
                  <c:v>1834.03</c:v>
                </c:pt>
                <c:pt idx="8">
                  <c:v>4209.2700000000004</c:v>
                </c:pt>
                <c:pt idx="9">
                  <c:v>449.82</c:v>
                </c:pt>
                <c:pt idx="10">
                  <c:v>8335.99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EF-45A9-AF26-E969C8AB5548}"/>
            </c:ext>
          </c:extLst>
        </c:ser>
        <c:ser>
          <c:idx val="4"/>
          <c:order val="4"/>
          <c:tx>
            <c:strRef>
              <c:f>Sheet1!$M$20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Sheet1!$H$21:$H$31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Sheet1!$M$21:$M$31</c:f>
              <c:numCache>
                <c:formatCode>General</c:formatCode>
                <c:ptCount val="11"/>
                <c:pt idx="0">
                  <c:v>6624.19</c:v>
                </c:pt>
                <c:pt idx="1">
                  <c:v>971.1</c:v>
                </c:pt>
                <c:pt idx="2">
                  <c:v>1821.86</c:v>
                </c:pt>
                <c:pt idx="3">
                  <c:v>525.89</c:v>
                </c:pt>
                <c:pt idx="4">
                  <c:v>4846.79</c:v>
                </c:pt>
                <c:pt idx="5">
                  <c:v>2977.45</c:v>
                </c:pt>
                <c:pt idx="6">
                  <c:v>1325.7</c:v>
                </c:pt>
                <c:pt idx="7">
                  <c:v>2158.62</c:v>
                </c:pt>
                <c:pt idx="8">
                  <c:v>5541.25</c:v>
                </c:pt>
                <c:pt idx="9">
                  <c:v>470.41</c:v>
                </c:pt>
                <c:pt idx="10">
                  <c:v>10881.74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EF-45A9-AF26-E969C8AB5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681711"/>
        <c:axId val="1569681231"/>
      </c:barChart>
      <c:catAx>
        <c:axId val="1569681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 b="1"/>
                  <a:t>States</a:t>
                </a:r>
              </a:p>
            </c:rich>
          </c:tx>
          <c:layout>
            <c:manualLayout>
              <c:xMode val="edge"/>
              <c:yMode val="edge"/>
              <c:x val="0.49547795991645111"/>
              <c:y val="0.904300518679762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69681231"/>
        <c:crosses val="autoZero"/>
        <c:auto val="1"/>
        <c:lblAlgn val="ctr"/>
        <c:lblOffset val="100"/>
        <c:noMultiLvlLbl val="0"/>
      </c:catAx>
      <c:valAx>
        <c:axId val="156968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Production (in 000 MT) </a:t>
                </a:r>
              </a:p>
            </c:rich>
          </c:tx>
          <c:layout>
            <c:manualLayout>
              <c:xMode val="edge"/>
              <c:yMode val="edge"/>
              <c:x val="1.0823349748786924E-2"/>
              <c:y val="0.17728401907508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6968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1194781417918221"/>
          <c:y val="0.17171296296296298"/>
          <c:w val="0.6176922733429587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r>
              <a:rPr lang="en-IN" b="1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</a:rPr>
              <a:t>Banana</a:t>
            </a:r>
            <a:r>
              <a:rPr lang="en-IN" b="1" baseline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</a:rPr>
              <a:t> Productivity of India</a:t>
            </a:r>
            <a:endParaRPr lang="en-IN" b="1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Cambria Math" panose="02040503050406030204" pitchFamily="18" charset="0"/>
              <a:ea typeface="Cambria Math" panose="02040503050406030204" pitchFamily="18" charset="0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1138857697309831"/>
          <c:y val="0.15776890880862848"/>
          <c:w val="0.86872441879269224"/>
          <c:h val="0.529080253633262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Sheet1!$P$20</c:f>
              <c:strCache>
                <c:ptCount val="1"/>
                <c:pt idx="0">
                  <c:v>2001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Sheet1!$O$21:$O$31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Sheet1!$P$21:$P$31</c:f>
              <c:numCache>
                <c:formatCode>0.00</c:formatCode>
                <c:ptCount val="11"/>
                <c:pt idx="0">
                  <c:v>22.003960396039606</c:v>
                </c:pt>
                <c:pt idx="1">
                  <c:v>13.896788990825687</c:v>
                </c:pt>
                <c:pt idx="2">
                  <c:v>20.033088235294116</c:v>
                </c:pt>
                <c:pt idx="3">
                  <c:v>20</c:v>
                </c:pt>
                <c:pt idx="4">
                  <c:v>34.873111782477338</c:v>
                </c:pt>
                <c:pt idx="5">
                  <c:v>23.74721189591078</c:v>
                </c:pt>
                <c:pt idx="6">
                  <c:v>14.071174377224198</c:v>
                </c:pt>
                <c:pt idx="7">
                  <c:v>40.467032967032971</c:v>
                </c:pt>
                <c:pt idx="8">
                  <c:v>65.730318257956441</c:v>
                </c:pt>
                <c:pt idx="9">
                  <c:v>19.444444444444443</c:v>
                </c:pt>
                <c:pt idx="10">
                  <c:v>13.633928571428571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B-42F3-BC90-987323C6BED6}"/>
            </c:ext>
          </c:extLst>
        </c:ser>
        <c:ser>
          <c:idx val="1"/>
          <c:order val="1"/>
          <c:tx>
            <c:strRef>
              <c:f>Sheet1!$Q$20</c:f>
              <c:strCache>
                <c:ptCount val="1"/>
                <c:pt idx="0">
                  <c:v>2005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Sheet1!$O$21:$O$31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Sheet1!$Q$21:$Q$31</c:f>
              <c:numCache>
                <c:formatCode>0.00</c:formatCode>
                <c:ptCount val="11"/>
                <c:pt idx="0">
                  <c:v>25.019639934533551</c:v>
                </c:pt>
                <c:pt idx="1">
                  <c:v>34.260714285714286</c:v>
                </c:pt>
                <c:pt idx="2">
                  <c:v>34.260714285714286</c:v>
                </c:pt>
                <c:pt idx="3">
                  <c:v>20</c:v>
                </c:pt>
                <c:pt idx="4">
                  <c:v>50.788617886178862</c:v>
                </c:pt>
                <c:pt idx="5">
                  <c:v>24.806737588652481</c:v>
                </c:pt>
                <c:pt idx="6">
                  <c:v>7.8843416370106763</c:v>
                </c:pt>
                <c:pt idx="7">
                  <c:v>39.974025974025977</c:v>
                </c:pt>
                <c:pt idx="8">
                  <c:v>62.95765027322404</c:v>
                </c:pt>
                <c:pt idx="9">
                  <c:v>19</c:v>
                </c:pt>
                <c:pt idx="10">
                  <c:v>10.869809203142534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B-42F3-BC90-987323C6BED6}"/>
            </c:ext>
          </c:extLst>
        </c:ser>
        <c:ser>
          <c:idx val="2"/>
          <c:order val="2"/>
          <c:tx>
            <c:strRef>
              <c:f>Sheet1!$R$20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Sheet1!$O$21:$O$31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Sheet1!$R$21:$R$31</c:f>
              <c:numCache>
                <c:formatCode>0.00</c:formatCode>
                <c:ptCount val="11"/>
                <c:pt idx="0">
                  <c:v>34.991172761664572</c:v>
                </c:pt>
                <c:pt idx="1">
                  <c:v>15.201680672268907</c:v>
                </c:pt>
                <c:pt idx="2">
                  <c:v>47.557993730407524</c:v>
                </c:pt>
                <c:pt idx="3">
                  <c:v>20</c:v>
                </c:pt>
                <c:pt idx="4">
                  <c:v>61.483771251931991</c:v>
                </c:pt>
                <c:pt idx="5">
                  <c:v>20.407871198568873</c:v>
                </c:pt>
                <c:pt idx="6">
                  <c:v>6.58</c:v>
                </c:pt>
                <c:pt idx="7">
                  <c:v>45.133858267716533</c:v>
                </c:pt>
                <c:pt idx="8">
                  <c:v>52.475609756097562</c:v>
                </c:pt>
                <c:pt idx="9">
                  <c:v>18.167286245353161</c:v>
                </c:pt>
                <c:pt idx="10">
                  <c:v>10.685111237877923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B-42F3-BC90-987323C6BED6}"/>
            </c:ext>
          </c:extLst>
        </c:ser>
        <c:ser>
          <c:idx val="3"/>
          <c:order val="3"/>
          <c:tx>
            <c:strRef>
              <c:f>Sheet1!$S$20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Sheet1!$O$21:$O$31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Sheet1!$S$21:$S$31</c:f>
              <c:numCache>
                <c:formatCode>0.00</c:formatCode>
                <c:ptCount val="11"/>
                <c:pt idx="0">
                  <c:v>56.239545863309353</c:v>
                </c:pt>
                <c:pt idx="1">
                  <c:v>17.205538809344386</c:v>
                </c:pt>
                <c:pt idx="2">
                  <c:v>44.9433537174123</c:v>
                </c:pt>
                <c:pt idx="3">
                  <c:v>28.068498306360556</c:v>
                </c:pt>
                <c:pt idx="4">
                  <c:v>65.624651504035214</c:v>
                </c:pt>
                <c:pt idx="5">
                  <c:v>21.06648575305292</c:v>
                </c:pt>
                <c:pt idx="6">
                  <c:v>10.243089877356764</c:v>
                </c:pt>
                <c:pt idx="7">
                  <c:v>69.523502653525398</c:v>
                </c:pt>
                <c:pt idx="8">
                  <c:v>52.043397626112771</c:v>
                </c:pt>
                <c:pt idx="9">
                  <c:v>18.587603305785123</c:v>
                </c:pt>
                <c:pt idx="10">
                  <c:v>31.468440921102303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9B-42F3-BC90-987323C6BED6}"/>
            </c:ext>
          </c:extLst>
        </c:ser>
        <c:ser>
          <c:idx val="4"/>
          <c:order val="4"/>
          <c:tx>
            <c:strRef>
              <c:f>Sheet1!$T$20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Sheet1!$O$21:$O$31</c:f>
              <c:strCache>
                <c:ptCount val="11"/>
                <c:pt idx="0">
                  <c:v>Andhra Pradesh</c:v>
                </c:pt>
                <c:pt idx="1">
                  <c:v>Assam</c:v>
                </c:pt>
                <c:pt idx="2">
                  <c:v>Bihar</c:v>
                </c:pt>
                <c:pt idx="3">
                  <c:v>Chhatisgarh</c:v>
                </c:pt>
                <c:pt idx="4">
                  <c:v>Gujrat</c:v>
                </c:pt>
                <c:pt idx="5">
                  <c:v>Karnataka</c:v>
                </c:pt>
                <c:pt idx="6">
                  <c:v>Kerla</c:v>
                </c:pt>
                <c:pt idx="7">
                  <c:v>Madhya Pradesh</c:v>
                </c:pt>
                <c:pt idx="8">
                  <c:v>Maharashtra</c:v>
                </c:pt>
                <c:pt idx="9">
                  <c:v>Odisha</c:v>
                </c:pt>
                <c:pt idx="10">
                  <c:v>Other States</c:v>
                </c:pt>
              </c:strCache>
            </c:strRef>
          </c:cat>
          <c:val>
            <c:numRef>
              <c:f>Sheet1!$T$21:$T$31</c:f>
              <c:numCache>
                <c:formatCode>0.00</c:formatCode>
                <c:ptCount val="11"/>
                <c:pt idx="0">
                  <c:v>61.672004468857644</c:v>
                </c:pt>
                <c:pt idx="1">
                  <c:v>16.702786377708978</c:v>
                </c:pt>
                <c:pt idx="2">
                  <c:v>48.69981288425555</c:v>
                </c:pt>
                <c:pt idx="3">
                  <c:v>24.853024574669185</c:v>
                </c:pt>
                <c:pt idx="4">
                  <c:v>67.910746812386151</c:v>
                </c:pt>
                <c:pt idx="5">
                  <c:v>26.166183320151152</c:v>
                </c:pt>
                <c:pt idx="6">
                  <c:v>10.645627559624188</c:v>
                </c:pt>
                <c:pt idx="7">
                  <c:v>70.199024390243892</c:v>
                </c:pt>
                <c:pt idx="8">
                  <c:v>55.534676287833236</c:v>
                </c:pt>
                <c:pt idx="9">
                  <c:v>23.207202762703503</c:v>
                </c:pt>
                <c:pt idx="10">
                  <c:v>35.985779953040776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99B-42F3-BC90-987323C6B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5883328"/>
        <c:axId val="1865867968"/>
      </c:barChart>
      <c:catAx>
        <c:axId val="1865883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r>
                  <a:rPr lang="en-IN" sz="1100" b="1">
                    <a:solidFill>
                      <a:schemeClr val="tx1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States</a:t>
                </a:r>
              </a:p>
            </c:rich>
          </c:tx>
          <c:layout>
            <c:manualLayout>
              <c:xMode val="edge"/>
              <c:yMode val="edge"/>
              <c:x val="0.50251456007725892"/>
              <c:y val="0.887809208073225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endParaRPr lang="en-US"/>
          </a:p>
        </c:txPr>
        <c:crossAx val="1865867968"/>
        <c:crosses val="autoZero"/>
        <c:auto val="1"/>
        <c:lblAlgn val="ctr"/>
        <c:lblOffset val="100"/>
        <c:noMultiLvlLbl val="0"/>
      </c:catAx>
      <c:valAx>
        <c:axId val="186586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r>
                  <a:rPr lang="en-IN" sz="1100" b="1">
                    <a:solidFill>
                      <a:schemeClr val="tx1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Productivity</a:t>
                </a:r>
                <a:r>
                  <a:rPr lang="en-IN" sz="1100" b="1" baseline="0">
                    <a:solidFill>
                      <a:schemeClr val="tx1"/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</a:rPr>
                  <a:t> </a:t>
                </a:r>
                <a:endParaRPr lang="en-IN" sz="1100" b="1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</a:endParaRPr>
              </a:p>
            </c:rich>
          </c:tx>
          <c:layout>
            <c:manualLayout>
              <c:xMode val="edge"/>
              <c:yMode val="edge"/>
              <c:x val="1.0847456855023313E-2"/>
              <c:y val="0.2830183272444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defRPr>
              </a:pPr>
              <a:endParaRPr lang="en-I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endParaRPr lang="en-US"/>
          </a:p>
        </c:txPr>
        <c:crossAx val="186588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6101441808259607"/>
          <c:y val="0.15323306675254383"/>
          <c:w val="0.35458286545964746"/>
          <c:h val="7.62639617182571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32</xdr:row>
      <xdr:rowOff>149740</xdr:rowOff>
    </xdr:from>
    <xdr:to>
      <xdr:col>7</xdr:col>
      <xdr:colOff>90714</xdr:colOff>
      <xdr:row>48</xdr:row>
      <xdr:rowOff>62248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4DE12-9999-027A-A9B8-CAD447B93E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215900</xdr:colOff>
      <xdr:row>32</xdr:row>
      <xdr:rowOff>172357</xdr:rowOff>
    </xdr:from>
    <xdr:to>
      <xdr:col>15</xdr:col>
      <xdr:colOff>526141</xdr:colOff>
      <xdr:row>48</xdr:row>
      <xdr:rowOff>26307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C1869D-F814-D1B0-11BD-D05EA36AB1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881062</xdr:colOff>
      <xdr:row>32</xdr:row>
      <xdr:rowOff>174625</xdr:rowOff>
    </xdr:from>
    <xdr:to>
      <xdr:col>26</xdr:col>
      <xdr:colOff>420687</xdr:colOff>
      <xdr:row>49</xdr:row>
      <xdr:rowOff>39687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32E4D-F138-5950-2F11-C6B5DF3D96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zoomScale="96" workbookViewId="0">
      <selection activeCell="K17" sqref="K17"/>
    </sheetView>
  </sheetViews>
  <sheetFormatPr defaultRowHeight="14.4" x14ac:dyDescent="0.3"/>
  <cols>
    <col min="1" max="1" width="18" customWidth="1"/>
    <col min="3" max="3" width="11.77734375" bestFit="1" customWidth="1"/>
    <col min="4" max="4" width="12.44140625" bestFit="1" customWidth="1"/>
    <col min="5" max="5" width="7.33203125" bestFit="1" customWidth="1"/>
    <col min="6" max="6" width="11.77734375" bestFit="1" customWidth="1"/>
    <col min="7" max="7" width="11.109375" customWidth="1"/>
    <col min="8" max="8" width="16" bestFit="1" customWidth="1"/>
    <col min="9" max="9" width="10.88671875" customWidth="1"/>
    <col min="10" max="10" width="13" customWidth="1"/>
    <col min="11" max="11" width="7.88671875" customWidth="1"/>
    <col min="12" max="12" width="10.88671875" customWidth="1"/>
    <col min="13" max="13" width="12.33203125" customWidth="1"/>
    <col min="14" max="14" width="7.77734375" customWidth="1"/>
    <col min="15" max="15" width="16" bestFit="1" customWidth="1"/>
    <col min="16" max="16" width="13.33203125" customWidth="1"/>
    <col min="17" max="17" width="15.6640625" customWidth="1"/>
  </cols>
  <sheetData>
    <row r="1" spans="1:17" x14ac:dyDescent="0.3">
      <c r="A1" s="12" t="s">
        <v>12</v>
      </c>
      <c r="B1" s="10">
        <v>2001</v>
      </c>
      <c r="C1" s="10"/>
      <c r="D1" s="10"/>
      <c r="E1" s="10">
        <v>2005</v>
      </c>
      <c r="F1" s="10"/>
      <c r="G1" s="10"/>
      <c r="H1" s="10">
        <v>2010</v>
      </c>
      <c r="I1" s="10"/>
      <c r="J1" s="10"/>
      <c r="K1" s="10">
        <v>2017</v>
      </c>
      <c r="L1" s="10"/>
      <c r="M1" s="10"/>
      <c r="N1" s="10">
        <v>2023</v>
      </c>
      <c r="O1" s="10"/>
      <c r="P1" s="10"/>
      <c r="Q1" s="11" t="s">
        <v>17</v>
      </c>
    </row>
    <row r="2" spans="1:17" x14ac:dyDescent="0.3">
      <c r="A2" s="13"/>
      <c r="B2" s="2" t="s">
        <v>13</v>
      </c>
      <c r="C2" s="2" t="s">
        <v>14</v>
      </c>
      <c r="D2" s="2" t="s">
        <v>15</v>
      </c>
      <c r="E2" s="2" t="s">
        <v>13</v>
      </c>
      <c r="F2" s="2" t="s">
        <v>14</v>
      </c>
      <c r="G2" s="2" t="s">
        <v>15</v>
      </c>
      <c r="H2" s="2" t="s">
        <v>13</v>
      </c>
      <c r="I2" s="2" t="s">
        <v>14</v>
      </c>
      <c r="J2" s="2" t="s">
        <v>15</v>
      </c>
      <c r="K2" s="2" t="s">
        <v>13</v>
      </c>
      <c r="L2" s="2" t="s">
        <v>14</v>
      </c>
      <c r="M2" s="2" t="s">
        <v>15</v>
      </c>
      <c r="N2" s="2" t="s">
        <v>13</v>
      </c>
      <c r="O2" s="2" t="s">
        <v>14</v>
      </c>
      <c r="P2" s="2" t="s">
        <v>15</v>
      </c>
      <c r="Q2" s="11"/>
    </row>
    <row r="3" spans="1:17" x14ac:dyDescent="0.3">
      <c r="A3" s="1" t="s">
        <v>0</v>
      </c>
      <c r="B3" s="3">
        <v>50.5</v>
      </c>
      <c r="C3" s="3">
        <v>1111.2</v>
      </c>
      <c r="D3" s="5">
        <f>C3/B3</f>
        <v>22.003960396039606</v>
      </c>
      <c r="E3" s="3">
        <v>61.1</v>
      </c>
      <c r="F3" s="3">
        <v>1528.7</v>
      </c>
      <c r="G3" s="5">
        <f>F3/E3</f>
        <v>25.019639934533551</v>
      </c>
      <c r="H3" s="3">
        <v>79.3</v>
      </c>
      <c r="I3" s="3">
        <v>2774.8</v>
      </c>
      <c r="J3" s="5">
        <f>I3/H3</f>
        <v>34.991172761664572</v>
      </c>
      <c r="K3" s="3">
        <v>88.96</v>
      </c>
      <c r="L3" s="3">
        <v>5003.07</v>
      </c>
      <c r="M3" s="5">
        <f>L3/K3</f>
        <v>56.239545863309353</v>
      </c>
      <c r="N3" s="3">
        <v>107.41</v>
      </c>
      <c r="O3" s="3">
        <v>6624.19</v>
      </c>
      <c r="P3" s="5">
        <f>O3/N3</f>
        <v>61.672004468857644</v>
      </c>
      <c r="Q3" s="5">
        <f t="shared" ref="Q3:Q14" si="0">(F3-C3)/C3*100</f>
        <v>37.571994240460761</v>
      </c>
    </row>
    <row r="4" spans="1:17" x14ac:dyDescent="0.3">
      <c r="A4" s="1" t="s">
        <v>1</v>
      </c>
      <c r="B4" s="3">
        <v>43.6</v>
      </c>
      <c r="C4" s="3">
        <v>605.9</v>
      </c>
      <c r="D4" s="5">
        <f t="shared" ref="D4:D13" si="1">C4/B4</f>
        <v>13.896788990825687</v>
      </c>
      <c r="E4" s="3">
        <v>28</v>
      </c>
      <c r="F4" s="3">
        <v>959.3</v>
      </c>
      <c r="G4" s="5">
        <f t="shared" ref="G4:G5" si="2">F4/E4</f>
        <v>34.260714285714286</v>
      </c>
      <c r="H4" s="3">
        <v>47.6</v>
      </c>
      <c r="I4" s="3">
        <v>723.6</v>
      </c>
      <c r="J4" s="5">
        <f t="shared" ref="J4:J14" si="3">I4/H4</f>
        <v>15.201680672268907</v>
      </c>
      <c r="K4" s="3">
        <v>53.08</v>
      </c>
      <c r="L4" s="3">
        <v>913.27</v>
      </c>
      <c r="M4" s="5">
        <f t="shared" ref="M4:M14" si="4">L4/K4</f>
        <v>17.205538809344386</v>
      </c>
      <c r="N4" s="3">
        <v>58.14</v>
      </c>
      <c r="O4" s="3">
        <v>971.1</v>
      </c>
      <c r="P4" s="5">
        <f t="shared" ref="P4:P14" si="5">O4/N4</f>
        <v>16.702786377708978</v>
      </c>
      <c r="Q4" s="5">
        <f t="shared" si="0"/>
        <v>58.326456510975412</v>
      </c>
    </row>
    <row r="5" spans="1:17" x14ac:dyDescent="0.3">
      <c r="A5" s="1" t="s">
        <v>2</v>
      </c>
      <c r="B5" s="3">
        <v>27.2</v>
      </c>
      <c r="C5" s="3">
        <v>544.9</v>
      </c>
      <c r="D5" s="5">
        <f t="shared" si="1"/>
        <v>20.033088235294116</v>
      </c>
      <c r="E5" s="3">
        <v>28</v>
      </c>
      <c r="F5" s="3">
        <v>959.3</v>
      </c>
      <c r="G5" s="5">
        <f t="shared" si="2"/>
        <v>34.260714285714286</v>
      </c>
      <c r="H5" s="3">
        <v>31.9</v>
      </c>
      <c r="I5" s="3">
        <v>1517.1</v>
      </c>
      <c r="J5" s="5">
        <f t="shared" si="3"/>
        <v>47.557993730407524</v>
      </c>
      <c r="K5" s="3">
        <v>31.07</v>
      </c>
      <c r="L5" s="3">
        <v>1396.39</v>
      </c>
      <c r="M5" s="5">
        <f t="shared" si="4"/>
        <v>44.9433537174123</v>
      </c>
      <c r="N5" s="3">
        <v>37.409999999999997</v>
      </c>
      <c r="O5" s="3">
        <v>1821.86</v>
      </c>
      <c r="P5" s="5">
        <f t="shared" si="5"/>
        <v>48.69981288425555</v>
      </c>
      <c r="Q5" s="5">
        <f t="shared" si="0"/>
        <v>76.050651495687276</v>
      </c>
    </row>
    <row r="6" spans="1:17" x14ac:dyDescent="0.3">
      <c r="A6" s="1" t="s">
        <v>3</v>
      </c>
      <c r="B6" s="3">
        <v>20</v>
      </c>
      <c r="C6" s="3">
        <v>400</v>
      </c>
      <c r="D6" s="5">
        <f t="shared" si="1"/>
        <v>20</v>
      </c>
      <c r="E6" s="3">
        <v>22</v>
      </c>
      <c r="F6" s="3">
        <v>440</v>
      </c>
      <c r="G6" s="5">
        <f>F6/E6</f>
        <v>20</v>
      </c>
      <c r="H6" s="3">
        <v>25</v>
      </c>
      <c r="I6" s="3">
        <v>500</v>
      </c>
      <c r="J6" s="5">
        <f t="shared" si="3"/>
        <v>20</v>
      </c>
      <c r="K6" s="3">
        <v>26.57</v>
      </c>
      <c r="L6" s="3">
        <v>745.78</v>
      </c>
      <c r="M6" s="5">
        <f t="shared" si="4"/>
        <v>28.068498306360556</v>
      </c>
      <c r="N6" s="3">
        <v>21.16</v>
      </c>
      <c r="O6" s="3">
        <v>525.89</v>
      </c>
      <c r="P6" s="5">
        <f t="shared" si="5"/>
        <v>24.853024574669185</v>
      </c>
      <c r="Q6" s="5">
        <f t="shared" si="0"/>
        <v>10</v>
      </c>
    </row>
    <row r="7" spans="1:17" x14ac:dyDescent="0.3">
      <c r="A7" s="1" t="s">
        <v>4</v>
      </c>
      <c r="B7" s="3">
        <v>33.1</v>
      </c>
      <c r="C7" s="3">
        <v>1154.3</v>
      </c>
      <c r="D7" s="5">
        <f t="shared" si="1"/>
        <v>34.873111782477338</v>
      </c>
      <c r="E7" s="3">
        <v>49.2</v>
      </c>
      <c r="F7" s="3">
        <v>2498.8000000000002</v>
      </c>
      <c r="G7" s="5">
        <f>F7/E7</f>
        <v>50.788617886178862</v>
      </c>
      <c r="H7" s="3">
        <v>64.7</v>
      </c>
      <c r="I7" s="3">
        <v>3978</v>
      </c>
      <c r="J7" s="5">
        <f t="shared" si="3"/>
        <v>61.483771251931991</v>
      </c>
      <c r="K7" s="3">
        <v>68.150000000000006</v>
      </c>
      <c r="L7" s="3">
        <v>4472.32</v>
      </c>
      <c r="M7" s="5">
        <f t="shared" si="4"/>
        <v>65.624651504035214</v>
      </c>
      <c r="N7" s="3">
        <v>71.37</v>
      </c>
      <c r="O7" s="3">
        <v>4846.79</v>
      </c>
      <c r="P7" s="5">
        <f t="shared" si="5"/>
        <v>67.910746812386151</v>
      </c>
      <c r="Q7" s="5">
        <f t="shared" si="0"/>
        <v>116.47751884258861</v>
      </c>
    </row>
    <row r="8" spans="1:17" x14ac:dyDescent="0.3">
      <c r="A8" s="1" t="s">
        <v>5</v>
      </c>
      <c r="B8" s="3">
        <v>53.8</v>
      </c>
      <c r="C8" s="3">
        <v>1277.5999999999999</v>
      </c>
      <c r="D8" s="5">
        <f t="shared" si="1"/>
        <v>23.74721189591078</v>
      </c>
      <c r="E8" s="3">
        <v>56.4</v>
      </c>
      <c r="F8" s="3">
        <v>1399.1</v>
      </c>
      <c r="G8" s="5">
        <f t="shared" ref="G8:G12" si="6">F8/E8</f>
        <v>24.806737588652481</v>
      </c>
      <c r="H8" s="3">
        <v>111.8</v>
      </c>
      <c r="I8" s="3">
        <v>2281.6</v>
      </c>
      <c r="J8" s="5">
        <f t="shared" si="3"/>
        <v>20.407871198568873</v>
      </c>
      <c r="K8" s="3">
        <v>110.55</v>
      </c>
      <c r="L8" s="3">
        <v>2328.9</v>
      </c>
      <c r="M8" s="5">
        <f t="shared" si="4"/>
        <v>21.06648575305292</v>
      </c>
      <c r="N8" s="3">
        <v>113.79</v>
      </c>
      <c r="O8" s="3">
        <v>2977.45</v>
      </c>
      <c r="P8" s="5">
        <f t="shared" si="5"/>
        <v>26.166183320151152</v>
      </c>
      <c r="Q8" s="5">
        <f t="shared" si="0"/>
        <v>9.5100187852222913</v>
      </c>
    </row>
    <row r="9" spans="1:17" x14ac:dyDescent="0.3">
      <c r="A9" s="1" t="s">
        <v>6</v>
      </c>
      <c r="B9" s="3">
        <v>28.1</v>
      </c>
      <c r="C9" s="3">
        <v>395.4</v>
      </c>
      <c r="D9" s="5">
        <f t="shared" si="1"/>
        <v>14.071174377224198</v>
      </c>
      <c r="E9" s="3">
        <v>56.2</v>
      </c>
      <c r="F9" s="3">
        <v>443.1</v>
      </c>
      <c r="G9" s="5">
        <f t="shared" si="6"/>
        <v>7.8843416370106763</v>
      </c>
      <c r="H9" s="3">
        <v>125.4</v>
      </c>
      <c r="I9" s="3">
        <v>825.3</v>
      </c>
      <c r="J9" s="5">
        <f t="shared" si="3"/>
        <v>6.5813397129186599</v>
      </c>
      <c r="K9" s="3">
        <v>109.26</v>
      </c>
      <c r="L9" s="3">
        <v>1119.1600000000001</v>
      </c>
      <c r="M9" s="5">
        <f t="shared" si="4"/>
        <v>10.243089877356764</v>
      </c>
      <c r="N9" s="3">
        <v>124.53</v>
      </c>
      <c r="O9" s="3">
        <v>1325.7</v>
      </c>
      <c r="P9" s="5">
        <f t="shared" si="5"/>
        <v>10.645627559624188</v>
      </c>
      <c r="Q9" s="5">
        <f t="shared" si="0"/>
        <v>12.06373292867983</v>
      </c>
    </row>
    <row r="10" spans="1:17" x14ac:dyDescent="0.3">
      <c r="A10" s="1" t="s">
        <v>7</v>
      </c>
      <c r="B10" s="3">
        <v>18.2</v>
      </c>
      <c r="C10" s="3">
        <v>736.5</v>
      </c>
      <c r="D10" s="5">
        <f t="shared" si="1"/>
        <v>40.467032967032971</v>
      </c>
      <c r="E10" s="3">
        <v>15.4</v>
      </c>
      <c r="F10" s="3">
        <v>615.6</v>
      </c>
      <c r="G10" s="5">
        <f t="shared" si="6"/>
        <v>39.974025974025977</v>
      </c>
      <c r="H10" s="3">
        <v>38.1</v>
      </c>
      <c r="I10" s="3">
        <v>1719.6</v>
      </c>
      <c r="J10" s="5">
        <f t="shared" si="3"/>
        <v>45.133858267716533</v>
      </c>
      <c r="K10" s="3">
        <v>26.38</v>
      </c>
      <c r="L10" s="3">
        <v>1834.03</v>
      </c>
      <c r="M10" s="5">
        <f t="shared" si="4"/>
        <v>69.523502653525398</v>
      </c>
      <c r="N10" s="3">
        <v>30.75</v>
      </c>
      <c r="O10" s="3">
        <v>2158.62</v>
      </c>
      <c r="P10" s="5">
        <f t="shared" si="5"/>
        <v>70.199024390243892</v>
      </c>
      <c r="Q10" s="5">
        <f t="shared" si="0"/>
        <v>-16.415478615071279</v>
      </c>
    </row>
    <row r="11" spans="1:17" x14ac:dyDescent="0.3">
      <c r="A11" s="1" t="s">
        <v>8</v>
      </c>
      <c r="B11" s="3">
        <v>59.7</v>
      </c>
      <c r="C11" s="3">
        <v>3924.1</v>
      </c>
      <c r="D11" s="5">
        <f t="shared" si="1"/>
        <v>65.730318257956441</v>
      </c>
      <c r="E11" s="3">
        <v>73.2</v>
      </c>
      <c r="F11" s="3">
        <v>4608.5</v>
      </c>
      <c r="G11" s="5">
        <f t="shared" si="6"/>
        <v>62.95765027322404</v>
      </c>
      <c r="H11" s="3">
        <v>82</v>
      </c>
      <c r="I11" s="3">
        <v>4303</v>
      </c>
      <c r="J11" s="5">
        <f t="shared" si="3"/>
        <v>52.475609756097562</v>
      </c>
      <c r="K11" s="3">
        <v>80.88</v>
      </c>
      <c r="L11" s="3">
        <v>4209.2700000000004</v>
      </c>
      <c r="M11" s="5">
        <f t="shared" si="4"/>
        <v>52.043397626112771</v>
      </c>
      <c r="N11" s="3">
        <v>99.78</v>
      </c>
      <c r="O11" s="3">
        <v>5541.25</v>
      </c>
      <c r="P11" s="5">
        <f t="shared" si="5"/>
        <v>55.534676287833236</v>
      </c>
      <c r="Q11" s="5">
        <f t="shared" si="0"/>
        <v>17.440941872021611</v>
      </c>
    </row>
    <row r="12" spans="1:17" x14ac:dyDescent="0.3">
      <c r="A12" s="1" t="s">
        <v>9</v>
      </c>
      <c r="B12" s="3">
        <v>18</v>
      </c>
      <c r="C12" s="3">
        <v>350</v>
      </c>
      <c r="D12" s="5">
        <f t="shared" si="1"/>
        <v>19.444444444444443</v>
      </c>
      <c r="E12" s="3">
        <v>20</v>
      </c>
      <c r="F12" s="3">
        <v>380</v>
      </c>
      <c r="G12" s="5">
        <f t="shared" si="6"/>
        <v>19</v>
      </c>
      <c r="H12" s="3">
        <v>26.9</v>
      </c>
      <c r="I12" s="3">
        <v>488.7</v>
      </c>
      <c r="J12" s="5">
        <f t="shared" si="3"/>
        <v>18.167286245353161</v>
      </c>
      <c r="K12" s="3">
        <v>24.2</v>
      </c>
      <c r="L12" s="3">
        <v>449.82</v>
      </c>
      <c r="M12" s="5">
        <f t="shared" si="4"/>
        <v>18.587603305785123</v>
      </c>
      <c r="N12" s="3">
        <v>20.27</v>
      </c>
      <c r="O12" s="3">
        <v>470.41</v>
      </c>
      <c r="P12" s="5">
        <f t="shared" si="5"/>
        <v>23.207202762703503</v>
      </c>
      <c r="Q12" s="5">
        <f t="shared" si="0"/>
        <v>8.5714285714285712</v>
      </c>
    </row>
    <row r="13" spans="1:17" x14ac:dyDescent="0.3">
      <c r="A13" s="1" t="s">
        <v>10</v>
      </c>
      <c r="B13" s="3">
        <v>67.2</v>
      </c>
      <c r="C13" s="3">
        <v>916.2</v>
      </c>
      <c r="D13" s="5">
        <f t="shared" si="1"/>
        <v>13.633928571428571</v>
      </c>
      <c r="E13" s="3">
        <f>E14-SUM(E3:E12)</f>
        <v>89.100000000000023</v>
      </c>
      <c r="F13" s="3">
        <v>968.5</v>
      </c>
      <c r="G13" s="5">
        <f>F13/E13</f>
        <v>10.869809203142534</v>
      </c>
      <c r="H13" s="3">
        <v>175.3</v>
      </c>
      <c r="I13" s="3">
        <v>1873.1</v>
      </c>
      <c r="J13" s="5">
        <f t="shared" si="3"/>
        <v>10.685111237877923</v>
      </c>
      <c r="K13" s="3">
        <v>264.89999999999998</v>
      </c>
      <c r="L13" s="3">
        <v>8335.99</v>
      </c>
      <c r="M13" s="5">
        <f t="shared" si="4"/>
        <v>31.468440921102303</v>
      </c>
      <c r="N13" s="3">
        <v>302.39</v>
      </c>
      <c r="O13" s="3">
        <v>10881.74</v>
      </c>
      <c r="P13" s="5">
        <f t="shared" si="5"/>
        <v>35.985779953040776</v>
      </c>
      <c r="Q13" s="5">
        <f>(F13-C13)/C13*100</f>
        <v>5.7083606199519705</v>
      </c>
    </row>
    <row r="14" spans="1:17" x14ac:dyDescent="0.3">
      <c r="A14" s="2" t="s">
        <v>11</v>
      </c>
      <c r="B14" s="2">
        <f>SUM(B3:B13)</f>
        <v>419.4</v>
      </c>
      <c r="C14" s="2">
        <f>SUM(C3:C13)</f>
        <v>11416.1</v>
      </c>
      <c r="D14" s="6">
        <f>C14/B14</f>
        <v>27.220076299475444</v>
      </c>
      <c r="E14" s="2">
        <v>498.6</v>
      </c>
      <c r="F14" s="2">
        <v>13856.6</v>
      </c>
      <c r="G14" s="2">
        <v>27.8</v>
      </c>
      <c r="H14" s="2">
        <v>830.5</v>
      </c>
      <c r="I14" s="2">
        <v>29779.9</v>
      </c>
      <c r="J14" s="2">
        <f t="shared" si="3"/>
        <v>35.857796508127635</v>
      </c>
      <c r="K14" s="2">
        <v>884</v>
      </c>
      <c r="L14" s="2">
        <v>30808</v>
      </c>
      <c r="M14" s="2">
        <f t="shared" si="4"/>
        <v>34.850678733031671</v>
      </c>
      <c r="N14" s="2">
        <v>987</v>
      </c>
      <c r="O14" s="2">
        <v>38145</v>
      </c>
      <c r="P14" s="2">
        <f t="shared" si="5"/>
        <v>38.647416413373861</v>
      </c>
      <c r="Q14" s="2">
        <f t="shared" si="0"/>
        <v>21.377703418855827</v>
      </c>
    </row>
    <row r="16" spans="1:17" ht="15.6" x14ac:dyDescent="0.3">
      <c r="B16" s="14" t="s">
        <v>16</v>
      </c>
      <c r="C16" s="14"/>
      <c r="D16" s="14"/>
      <c r="E16" s="14"/>
      <c r="F16" s="14"/>
      <c r="G16" s="14"/>
      <c r="H16" s="14"/>
      <c r="I16" s="14"/>
    </row>
    <row r="18" spans="1:23" x14ac:dyDescent="0.3">
      <c r="A18" s="1" t="s">
        <v>18</v>
      </c>
      <c r="H18" s="18" t="s">
        <v>19</v>
      </c>
      <c r="I18" s="18"/>
      <c r="O18" s="8" t="s">
        <v>21</v>
      </c>
      <c r="P18" s="9"/>
    </row>
    <row r="19" spans="1:23" x14ac:dyDescent="0.3">
      <c r="B19" s="15" t="s">
        <v>23</v>
      </c>
      <c r="C19" s="16"/>
      <c r="D19" s="16"/>
      <c r="E19" s="16"/>
      <c r="F19" s="17"/>
      <c r="H19" s="7"/>
      <c r="I19" s="10" t="s">
        <v>20</v>
      </c>
      <c r="J19" s="10"/>
      <c r="K19" s="10"/>
      <c r="L19" s="10"/>
      <c r="M19" s="10"/>
      <c r="O19" s="7"/>
      <c r="P19" s="10" t="s">
        <v>22</v>
      </c>
      <c r="Q19" s="10"/>
      <c r="R19" s="10"/>
      <c r="S19" s="10"/>
      <c r="T19" s="10"/>
    </row>
    <row r="20" spans="1:23" x14ac:dyDescent="0.3">
      <c r="A20" s="4" t="s">
        <v>12</v>
      </c>
      <c r="B20" s="2">
        <v>2001</v>
      </c>
      <c r="C20" s="2">
        <v>2005</v>
      </c>
      <c r="D20" s="2">
        <v>2010</v>
      </c>
      <c r="E20" s="2">
        <v>2017</v>
      </c>
      <c r="F20" s="2">
        <v>2023</v>
      </c>
      <c r="H20" s="4" t="s">
        <v>12</v>
      </c>
      <c r="I20" s="2">
        <v>2001</v>
      </c>
      <c r="J20" s="2">
        <v>2005</v>
      </c>
      <c r="K20" s="2">
        <v>2010</v>
      </c>
      <c r="L20" s="2">
        <v>2017</v>
      </c>
      <c r="M20" s="2">
        <v>2023</v>
      </c>
      <c r="O20" s="4" t="s">
        <v>12</v>
      </c>
      <c r="P20" s="2">
        <v>2001</v>
      </c>
      <c r="Q20" s="2">
        <v>2005</v>
      </c>
      <c r="R20" s="2">
        <v>2010</v>
      </c>
      <c r="S20" s="2">
        <v>2017</v>
      </c>
      <c r="T20" s="2">
        <v>2023</v>
      </c>
    </row>
    <row r="21" spans="1:23" x14ac:dyDescent="0.3">
      <c r="A21" s="1" t="s">
        <v>0</v>
      </c>
      <c r="B21" s="3">
        <v>50.5</v>
      </c>
      <c r="C21" s="3">
        <v>61.1</v>
      </c>
      <c r="D21" s="3">
        <v>79.3</v>
      </c>
      <c r="E21" s="3">
        <v>88.96</v>
      </c>
      <c r="F21" s="3">
        <v>107.41</v>
      </c>
      <c r="H21" s="1" t="s">
        <v>0</v>
      </c>
      <c r="I21" s="3">
        <v>1111.2</v>
      </c>
      <c r="J21" s="3">
        <v>1528.7</v>
      </c>
      <c r="K21" s="3">
        <v>2774.8</v>
      </c>
      <c r="L21" s="3">
        <v>5003.07</v>
      </c>
      <c r="M21" s="3">
        <v>6624.19</v>
      </c>
      <c r="O21" s="1" t="s">
        <v>0</v>
      </c>
      <c r="P21" s="5">
        <v>22.003960396039606</v>
      </c>
      <c r="Q21" s="5">
        <v>25.019639934533551</v>
      </c>
      <c r="R21" s="5">
        <v>34.991172761664572</v>
      </c>
      <c r="S21" s="5">
        <v>56.239545863309353</v>
      </c>
      <c r="T21" s="5">
        <v>61.672004468857644</v>
      </c>
    </row>
    <row r="22" spans="1:23" x14ac:dyDescent="0.3">
      <c r="A22" s="1" t="s">
        <v>1</v>
      </c>
      <c r="B22" s="3">
        <v>43.6</v>
      </c>
      <c r="C22" s="3">
        <v>28</v>
      </c>
      <c r="D22" s="3">
        <v>47.6</v>
      </c>
      <c r="E22" s="3">
        <v>53.08</v>
      </c>
      <c r="F22" s="3">
        <v>58.14</v>
      </c>
      <c r="H22" s="1" t="s">
        <v>1</v>
      </c>
      <c r="I22" s="3">
        <v>605.9</v>
      </c>
      <c r="J22" s="3">
        <v>959.3</v>
      </c>
      <c r="K22" s="3">
        <v>723.6</v>
      </c>
      <c r="L22" s="3">
        <v>913.27</v>
      </c>
      <c r="M22" s="3">
        <v>971.1</v>
      </c>
      <c r="O22" s="1" t="s">
        <v>1</v>
      </c>
      <c r="P22" s="5">
        <v>13.896788990825687</v>
      </c>
      <c r="Q22" s="5">
        <v>34.260714285714286</v>
      </c>
      <c r="R22" s="5">
        <v>15.201680672268907</v>
      </c>
      <c r="S22" s="5">
        <v>17.205538809344386</v>
      </c>
      <c r="T22" s="5">
        <v>16.702786377708978</v>
      </c>
    </row>
    <row r="23" spans="1:23" x14ac:dyDescent="0.3">
      <c r="A23" s="1" t="s">
        <v>2</v>
      </c>
      <c r="B23" s="3">
        <v>27.2</v>
      </c>
      <c r="C23" s="3">
        <v>28</v>
      </c>
      <c r="D23" s="3">
        <v>31.9</v>
      </c>
      <c r="E23" s="3">
        <v>31.07</v>
      </c>
      <c r="F23" s="3">
        <v>37.409999999999997</v>
      </c>
      <c r="H23" s="1" t="s">
        <v>2</v>
      </c>
      <c r="I23" s="3">
        <v>544.9</v>
      </c>
      <c r="J23" s="3">
        <v>959.3</v>
      </c>
      <c r="K23" s="3">
        <v>1517.1</v>
      </c>
      <c r="L23" s="3">
        <v>1396.39</v>
      </c>
      <c r="M23" s="3">
        <v>1821.86</v>
      </c>
      <c r="O23" s="1" t="s">
        <v>2</v>
      </c>
      <c r="P23" s="5">
        <v>20.033088235294116</v>
      </c>
      <c r="Q23" s="5">
        <v>34.260714285714286</v>
      </c>
      <c r="R23" s="5">
        <v>47.557993730407524</v>
      </c>
      <c r="S23" s="5">
        <v>44.9433537174123</v>
      </c>
      <c r="T23" s="5">
        <v>48.69981288425555</v>
      </c>
    </row>
    <row r="24" spans="1:23" x14ac:dyDescent="0.3">
      <c r="A24" s="1" t="s">
        <v>3</v>
      </c>
      <c r="B24" s="3">
        <v>20</v>
      </c>
      <c r="C24" s="3">
        <v>22</v>
      </c>
      <c r="D24" s="3">
        <v>25</v>
      </c>
      <c r="E24" s="3">
        <v>26.57</v>
      </c>
      <c r="F24" s="3">
        <v>21.16</v>
      </c>
      <c r="H24" s="1" t="s">
        <v>3</v>
      </c>
      <c r="I24" s="3">
        <v>400</v>
      </c>
      <c r="J24" s="3">
        <v>440</v>
      </c>
      <c r="K24" s="3">
        <v>500</v>
      </c>
      <c r="L24" s="3">
        <v>745.78</v>
      </c>
      <c r="M24" s="3">
        <v>525.89</v>
      </c>
      <c r="O24" s="1" t="s">
        <v>3</v>
      </c>
      <c r="P24" s="5">
        <v>20</v>
      </c>
      <c r="Q24" s="5">
        <v>20</v>
      </c>
      <c r="R24" s="5">
        <v>20</v>
      </c>
      <c r="S24" s="5">
        <v>28.068498306360556</v>
      </c>
      <c r="T24" s="5">
        <v>24.853024574669185</v>
      </c>
    </row>
    <row r="25" spans="1:23" x14ac:dyDescent="0.3">
      <c r="A25" s="1" t="s">
        <v>4</v>
      </c>
      <c r="B25" s="3">
        <v>33.1</v>
      </c>
      <c r="C25" s="3">
        <v>49.2</v>
      </c>
      <c r="D25" s="3">
        <v>64.7</v>
      </c>
      <c r="E25" s="3">
        <v>68.150000000000006</v>
      </c>
      <c r="F25" s="3">
        <v>71.37</v>
      </c>
      <c r="H25" s="1" t="s">
        <v>4</v>
      </c>
      <c r="I25" s="3">
        <v>1154.3</v>
      </c>
      <c r="J25" s="3">
        <v>2498.8000000000002</v>
      </c>
      <c r="K25" s="3">
        <v>3978</v>
      </c>
      <c r="L25" s="3">
        <v>4472.32</v>
      </c>
      <c r="M25" s="3">
        <v>4846.79</v>
      </c>
      <c r="O25" s="1" t="s">
        <v>4</v>
      </c>
      <c r="P25" s="5">
        <v>34.873111782477338</v>
      </c>
      <c r="Q25" s="5">
        <v>50.788617886178862</v>
      </c>
      <c r="R25" s="5">
        <v>61.483771251931991</v>
      </c>
      <c r="S25" s="5">
        <v>65.624651504035214</v>
      </c>
      <c r="T25" s="5">
        <v>67.910746812386151</v>
      </c>
    </row>
    <row r="26" spans="1:23" x14ac:dyDescent="0.3">
      <c r="A26" s="1" t="s">
        <v>5</v>
      </c>
      <c r="B26" s="3">
        <v>53.8</v>
      </c>
      <c r="C26" s="3">
        <v>56.4</v>
      </c>
      <c r="D26" s="3">
        <v>111.8</v>
      </c>
      <c r="E26" s="3">
        <v>110.55</v>
      </c>
      <c r="F26" s="3">
        <v>113.79</v>
      </c>
      <c r="H26" s="1" t="s">
        <v>5</v>
      </c>
      <c r="I26" s="3">
        <v>1277.5999999999999</v>
      </c>
      <c r="J26" s="3">
        <v>1399.1</v>
      </c>
      <c r="K26" s="3">
        <v>2281.6</v>
      </c>
      <c r="L26" s="3">
        <v>2328.9</v>
      </c>
      <c r="M26" s="3">
        <v>2977.45</v>
      </c>
      <c r="O26" s="1" t="s">
        <v>5</v>
      </c>
      <c r="P26" s="5">
        <v>23.74721189591078</v>
      </c>
      <c r="Q26" s="5">
        <v>24.806737588652481</v>
      </c>
      <c r="R26" s="5">
        <v>20.407871198568873</v>
      </c>
      <c r="S26" s="5">
        <v>21.06648575305292</v>
      </c>
      <c r="T26" s="5">
        <v>26.166183320151152</v>
      </c>
    </row>
    <row r="27" spans="1:23" x14ac:dyDescent="0.3">
      <c r="A27" s="1" t="s">
        <v>6</v>
      </c>
      <c r="B27" s="3">
        <v>28.1</v>
      </c>
      <c r="C27" s="3">
        <v>56.2</v>
      </c>
      <c r="D27" s="3">
        <v>125.4</v>
      </c>
      <c r="E27" s="3">
        <v>109.26</v>
      </c>
      <c r="F27" s="3">
        <v>124.53</v>
      </c>
      <c r="H27" s="1" t="s">
        <v>6</v>
      </c>
      <c r="I27" s="3">
        <v>395.4</v>
      </c>
      <c r="J27" s="3">
        <v>443.1</v>
      </c>
      <c r="K27" s="3">
        <v>825.3</v>
      </c>
      <c r="L27" s="3">
        <v>1119.1600000000001</v>
      </c>
      <c r="M27" s="3">
        <v>1325.7</v>
      </c>
      <c r="O27" s="1" t="s">
        <v>6</v>
      </c>
      <c r="P27" s="5">
        <v>14.071174377224198</v>
      </c>
      <c r="Q27" s="5">
        <v>7.8843416370106763</v>
      </c>
      <c r="R27" s="5">
        <v>6.58</v>
      </c>
      <c r="S27" s="5">
        <v>10.243089877356764</v>
      </c>
      <c r="T27" s="5">
        <v>10.645627559624188</v>
      </c>
    </row>
    <row r="28" spans="1:23" x14ac:dyDescent="0.3">
      <c r="A28" s="1" t="s">
        <v>7</v>
      </c>
      <c r="B28" s="3">
        <v>18.2</v>
      </c>
      <c r="C28" s="3">
        <v>15.4</v>
      </c>
      <c r="D28" s="3">
        <v>38.1</v>
      </c>
      <c r="E28" s="3">
        <v>26.38</v>
      </c>
      <c r="F28" s="3">
        <v>30.75</v>
      </c>
      <c r="H28" s="1" t="s">
        <v>7</v>
      </c>
      <c r="I28" s="3">
        <v>736.5</v>
      </c>
      <c r="J28" s="3">
        <v>615.6</v>
      </c>
      <c r="K28" s="3">
        <v>1719.6</v>
      </c>
      <c r="L28" s="3">
        <v>1834.03</v>
      </c>
      <c r="M28" s="3">
        <v>2158.62</v>
      </c>
      <c r="O28" s="1" t="s">
        <v>7</v>
      </c>
      <c r="P28" s="5">
        <v>40.467032967032971</v>
      </c>
      <c r="Q28" s="5">
        <v>39.974025974025977</v>
      </c>
      <c r="R28" s="5">
        <v>45.133858267716533</v>
      </c>
      <c r="S28" s="5">
        <v>69.523502653525398</v>
      </c>
      <c r="T28" s="5">
        <v>70.199024390243892</v>
      </c>
    </row>
    <row r="29" spans="1:23" x14ac:dyDescent="0.3">
      <c r="A29" s="1" t="s">
        <v>8</v>
      </c>
      <c r="B29" s="3">
        <v>59.7</v>
      </c>
      <c r="C29" s="3">
        <v>73.2</v>
      </c>
      <c r="D29" s="3">
        <v>82</v>
      </c>
      <c r="E29" s="3">
        <v>80.88</v>
      </c>
      <c r="F29" s="3">
        <v>99.78</v>
      </c>
      <c r="H29" s="1" t="s">
        <v>8</v>
      </c>
      <c r="I29" s="3">
        <v>3924.1</v>
      </c>
      <c r="J29" s="3">
        <v>4608.5</v>
      </c>
      <c r="K29" s="3">
        <v>4303</v>
      </c>
      <c r="L29" s="3">
        <v>4209.2700000000004</v>
      </c>
      <c r="M29" s="3">
        <v>5541.25</v>
      </c>
      <c r="O29" s="1" t="s">
        <v>8</v>
      </c>
      <c r="P29" s="5">
        <v>65.730318257956441</v>
      </c>
      <c r="Q29" s="5">
        <v>62.95765027322404</v>
      </c>
      <c r="R29" s="5">
        <v>52.475609756097562</v>
      </c>
      <c r="S29" s="5">
        <v>52.043397626112771</v>
      </c>
      <c r="T29" s="5">
        <v>55.534676287833236</v>
      </c>
      <c r="W29">
        <f>J31/C31</f>
        <v>10.869809203142534</v>
      </c>
    </row>
    <row r="30" spans="1:23" x14ac:dyDescent="0.3">
      <c r="A30" s="1" t="s">
        <v>9</v>
      </c>
      <c r="B30" s="3">
        <v>18</v>
      </c>
      <c r="C30" s="3">
        <v>20</v>
      </c>
      <c r="D30" s="3">
        <v>26.9</v>
      </c>
      <c r="E30" s="3">
        <v>24.2</v>
      </c>
      <c r="F30" s="3">
        <v>20.27</v>
      </c>
      <c r="H30" s="1" t="s">
        <v>9</v>
      </c>
      <c r="I30" s="3">
        <v>350</v>
      </c>
      <c r="J30" s="3">
        <v>380</v>
      </c>
      <c r="K30" s="3">
        <v>488.7</v>
      </c>
      <c r="L30" s="3">
        <v>449.82</v>
      </c>
      <c r="M30" s="3">
        <v>470.41</v>
      </c>
      <c r="O30" s="1" t="s">
        <v>9</v>
      </c>
      <c r="P30" s="5">
        <v>19.444444444444443</v>
      </c>
      <c r="Q30" s="5">
        <v>19</v>
      </c>
      <c r="R30" s="5">
        <v>18.167286245353161</v>
      </c>
      <c r="S30" s="5">
        <v>18.587603305785123</v>
      </c>
      <c r="T30" s="5">
        <v>23.207202762703503</v>
      </c>
    </row>
    <row r="31" spans="1:23" x14ac:dyDescent="0.3">
      <c r="A31" s="1" t="s">
        <v>10</v>
      </c>
      <c r="B31" s="3">
        <v>67.2</v>
      </c>
      <c r="C31" s="3">
        <v>89.100000000000023</v>
      </c>
      <c r="D31" s="3">
        <v>175.3</v>
      </c>
      <c r="E31" s="3">
        <v>264.89999999999998</v>
      </c>
      <c r="F31" s="3">
        <v>302.39</v>
      </c>
      <c r="H31" s="1" t="s">
        <v>10</v>
      </c>
      <c r="I31" s="3">
        <v>916.2</v>
      </c>
      <c r="J31" s="3">
        <v>968.5</v>
      </c>
      <c r="K31" s="3">
        <v>1873.1</v>
      </c>
      <c r="L31" s="3">
        <v>8335.99</v>
      </c>
      <c r="M31" s="3">
        <v>10881.74</v>
      </c>
      <c r="O31" s="1" t="s">
        <v>10</v>
      </c>
      <c r="P31" s="5">
        <v>13.633928571428571</v>
      </c>
      <c r="Q31" s="5">
        <v>10.869809203142534</v>
      </c>
      <c r="R31" s="5">
        <v>10.685111237877923</v>
      </c>
      <c r="S31" s="5">
        <v>31.468440921102303</v>
      </c>
      <c r="T31" s="5">
        <v>35.985779953040776</v>
      </c>
    </row>
    <row r="32" spans="1:23" x14ac:dyDescent="0.3">
      <c r="A32" s="1" t="s">
        <v>11</v>
      </c>
      <c r="B32" s="2">
        <v>419.4</v>
      </c>
      <c r="C32" s="2">
        <v>498.6</v>
      </c>
      <c r="D32" s="2">
        <v>830.5</v>
      </c>
      <c r="E32" s="2">
        <v>884</v>
      </c>
      <c r="F32" s="2">
        <v>987</v>
      </c>
      <c r="H32" s="1" t="s">
        <v>11</v>
      </c>
      <c r="I32" s="2">
        <f>SUM(I21:I31)</f>
        <v>11416.1</v>
      </c>
      <c r="J32" s="2">
        <v>13856.6</v>
      </c>
      <c r="K32" s="2">
        <v>29779.9</v>
      </c>
      <c r="L32" s="2">
        <v>30808</v>
      </c>
      <c r="M32" s="2">
        <v>38145</v>
      </c>
      <c r="O32" s="1" t="s">
        <v>11</v>
      </c>
      <c r="P32" s="6">
        <v>27.220076299475444</v>
      </c>
      <c r="Q32" s="6">
        <v>27.8</v>
      </c>
      <c r="R32" s="6">
        <v>35.857796508127635</v>
      </c>
      <c r="S32" s="6">
        <v>34.850678733031671</v>
      </c>
      <c r="T32" s="6">
        <v>38.647416413373861</v>
      </c>
    </row>
  </sheetData>
  <mergeCells count="13">
    <mergeCell ref="A1:A2"/>
    <mergeCell ref="B16:I16"/>
    <mergeCell ref="B19:F19"/>
    <mergeCell ref="B1:D1"/>
    <mergeCell ref="E1:G1"/>
    <mergeCell ref="H1:J1"/>
    <mergeCell ref="H18:I18"/>
    <mergeCell ref="I19:M19"/>
    <mergeCell ref="O18:P18"/>
    <mergeCell ref="P19:T19"/>
    <mergeCell ref="Q1:Q2"/>
    <mergeCell ref="K1:M1"/>
    <mergeCell ref="N1:P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Tejaswini Kshirsagar</dc:creator>
  <cp:lastModifiedBy>VINAY</cp:lastModifiedBy>
  <dcterms:created xsi:type="dcterms:W3CDTF">2026-02-05T13:16:35Z</dcterms:created>
  <dcterms:modified xsi:type="dcterms:W3CDTF">2026-03-12T17:07:20Z</dcterms:modified>
</cp:coreProperties>
</file>