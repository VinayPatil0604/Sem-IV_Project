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\Sem-IV\Datasets\"/>
    </mc:Choice>
  </mc:AlternateContent>
  <xr:revisionPtr revIDLastSave="0" documentId="13_ncr:1_{FD167672-F78B-4FA6-9EBD-9D9D6023980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3" sheetId="3" r:id="rId2"/>
    <sheet name="Sheet2" sheetId="4" r:id="rId3"/>
  </sheets>
  <definedNames>
    <definedName name="_xlchart.v1.0" hidden="1">Sheet3!$A$2:$A$26</definedName>
    <definedName name="_xlchart.v1.1" hidden="1">Sheet3!$B$2:$B$26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4" l="1" a="1"/>
  <c r="I12" i="4" s="1"/>
  <c r="N1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" i="4"/>
  <c r="K22" i="1"/>
  <c r="E22" i="1"/>
  <c r="F13" i="1"/>
  <c r="G24" i="1" l="1"/>
  <c r="G23" i="1"/>
  <c r="G21" i="1"/>
  <c r="G20" i="1"/>
  <c r="G19" i="1"/>
  <c r="G17" i="1"/>
  <c r="G16" i="1"/>
  <c r="G15" i="1"/>
  <c r="G14" i="1"/>
  <c r="G11" i="1"/>
  <c r="G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<sst xmlns="http://schemas.openxmlformats.org/spreadsheetml/2006/main" count="88" uniqueCount="28">
  <si>
    <t>State</t>
  </si>
  <si>
    <t>Andhra Pradesh</t>
  </si>
  <si>
    <t>Arunachal Pradesh</t>
  </si>
  <si>
    <t>Assam</t>
  </si>
  <si>
    <t>Bihar</t>
  </si>
  <si>
    <t>Chhattisgarh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</si>
  <si>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</si>
  <si>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</si>
  <si>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</si>
  <si>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</si>
  <si>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</si>
  <si>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</si>
  <si>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</si>
  <si>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</si>
  <si>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</si>
  <si>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</si>
  <si>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</si>
  <si>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</si>
  <si>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</si>
  <si>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</si>
  <si>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</si>
  <si>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</si>
  <si>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</si>
  <si>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</si>
  <si>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West Bengal</t>
  </si>
  <si>
    <t>Gujarat</t>
  </si>
  <si>
    <t>Top 5 State</t>
  </si>
  <si>
    <t>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</si>
</sst>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303030"/>
      <name val="Google Sans Text"/>
    </font>
    <font>
      <b/>
      <sz val="8"/>
      <color rgb="FF303030"/>
      <name val="Google Sans Text"/>
    </font>
    <font>
      <sz val="8"/>
      <color rgb="FF30303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303030"/>
      <name val="Calibri"/>
      <family val="2"/>
    </font>
    <font>
      <sz val="11"/>
      <color rgb="FF30303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8" fillId="0" borderId="1" xfId="0" applyFont="1" applyBorder="1"/>
    <xf numFmtId="0" fontId="7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Pareto Chart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50">
              <a:solidFill>
                <a:schemeClr val="tx1"/>
              </a:solidFill>
              <a:latin typeface="Cambria Math" panose="02040503050406030204" pitchFamily="18" charset="0"/>
              <a:ea typeface="Cambria Math" panose="02040503050406030204" pitchFamily="18" charset="0"/>
              <a:cs typeface="Cambria Math" panose="02040503050406030204" pitchFamily="18" charset="0"/>
            </a:defRPr>
          </a:pPr>
          <a:r>
            <a:rPr lang="en-US" sz="1050" b="0" i="0" u="none" strike="noStrike" baseline="0">
              <a:solidFill>
                <a:schemeClr val="tx1"/>
              </a:solidFill>
              <a:latin typeface="Cambria Math" panose="02040503050406030204" pitchFamily="18" charset="0"/>
              <a:ea typeface="Cambria Math" panose="02040503050406030204" pitchFamily="18" charset="0"/>
            </a:rPr>
            <a:t>Pareto Chart </a:t>
          </a:r>
        </a:p>
      </cx:txPr>
    </cx:title>
    <cx:plotArea>
      <cx:plotAreaRegion>
        <cx:series layoutId="clusteredColumn" uniqueId="{A4C5BE15-B986-4014-AABD-D14BAD3F35CF}">
          <cx:dataId val="0"/>
          <cx:layoutPr>
            <cx:aggregation/>
          </cx:layoutPr>
          <cx:axisId val="1"/>
        </cx:series>
        <cx:series layoutId="paretoLine" ownerIdx="0" uniqueId="{A807EED9-38DE-4ED9-88C4-D84DCDA94539}">
          <cx:axisId val="2"/>
        </cx:series>
      </cx:plotAreaRegion>
      <cx:axis id="0">
        <cx:catScaling gapWidth="0"/>
        <cx:title>
          <cx:tx>
            <cx:txData>
              <cx:v>STATES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50" b="1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Cambria Math" panose="02040503050406030204" pitchFamily="18" charset="0"/>
                </a:defRPr>
              </a:pPr>
              <a:r>
                <a:rPr lang="en-US" sz="1050" b="1" i="0" u="none" strike="noStrike" baseline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STATES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050" b="0" i="0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Cambria Math" panose="02040503050406030204" pitchFamily="18" charset="0"/>
              </a:defRPr>
            </a:pPr>
            <a:endParaRPr lang="en-IN" sz="1050">
              <a:solidFill>
                <a:schemeClr val="tx1"/>
              </a:solidFill>
              <a:latin typeface="Cambria Math" panose="02040503050406030204" pitchFamily="18" charset="0"/>
              <a:ea typeface="Cambria Math" panose="02040503050406030204" pitchFamily="18" charset="0"/>
            </a:endParaRPr>
          </a:p>
        </cx:txPr>
      </cx:axis>
      <cx:axis id="1">
        <cx:valScaling/>
        <cx:title>
          <cx:tx>
            <cx:txData>
              <cx:v>Production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50" b="1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Cambria Math" panose="02040503050406030204" pitchFamily="18" charset="0"/>
                </a:defRPr>
              </a:pPr>
              <a:r>
                <a:rPr lang="en-US" sz="1050" b="1" i="0" u="none" strike="noStrike" baseline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Production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050" b="0" i="0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Cambria Math" panose="02040503050406030204" pitchFamily="18" charset="0"/>
              </a:defRPr>
            </a:pPr>
            <a:endParaRPr lang="en-IN" sz="1050">
              <a:solidFill>
                <a:schemeClr val="tx1"/>
              </a:solidFill>
              <a:latin typeface="Cambria Math" panose="02040503050406030204" pitchFamily="18" charset="0"/>
              <a:ea typeface="Cambria Math" panose="02040503050406030204" pitchFamily="18" charset="0"/>
            </a:endParaRPr>
          </a:p>
        </cx:txPr>
      </cx:axis>
      <cx:axis id="2">
        <cx:valScaling max="1" min="0"/>
        <cx:title>
          <cx:tx>
            <cx:txData>
              <cx:v>Axis Title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05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Cambria Math" panose="02040503050406030204" pitchFamily="18" charset="0"/>
                </a:defRPr>
              </a:pPr>
              <a:r>
                <a:rPr lang="en-IN" sz="105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Axis Title</a:t>
              </a:r>
            </a:p>
          </cx:txPr>
        </cx:title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050" b="0" i="0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Cambria Math" panose="02040503050406030204" pitchFamily="18" charset="0"/>
              </a:defRPr>
            </a:pPr>
            <a:endParaRPr lang="en-IN" sz="1050">
              <a:solidFill>
                <a:schemeClr val="tx1"/>
              </a:solidFill>
              <a:latin typeface="Cambria Math" panose="02040503050406030204" pitchFamily="18" charset="0"/>
              <a:ea typeface="Cambria Math" panose="02040503050406030204" pitchFamily="18" charset="0"/>
            </a:endParaRPr>
          </a:p>
        </cx:txPr>
      </cx:axis>
    </cx:plotArea>
  </cx:chart>
  <cx:spPr>
    <a:ln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1249680</xdr:colOff>
      <xdr:row>19</xdr:row>
      <xdr:rowOff>190500</xdr:rowOff>
    </xdr:from>
    <xdr:to>
      <xdr:col>17</xdr:col>
      <xdr:colOff>579120</xdr:colOff>
      <xdr:row>39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6560" y="3939540"/>
          <a:ext cx="5486400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381000</xdr:colOff>
      <xdr:row>0</xdr:row>
      <xdr:rowOff>160020</xdr:rowOff>
    </xdr:from>
    <xdr:to>
      <xdr:col>15</xdr:col>
      <xdr:colOff>320040</xdr:colOff>
      <xdr:row>19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C31E0E4-85DB-3633-51AB-1A6E55F58F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9880" y="160020"/>
              <a:ext cx="7924800" cy="3642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workbookViewId="0">
      <selection activeCell="A13" sqref="A13:S13"/>
    </sheetView>
  </sheetViews>
  <sheetFormatPr defaultRowHeight="14.4"/>
  <cols>
    <col min="1" max="1" width="18" customWidth="1"/>
    <col min="20" max="20" width="11.44140625" bestFit="1" customWidth="1"/>
  </cols>
  <sheetData>
    <row r="1" spans="1:20" s="6" customFormat="1">
      <c r="A1" s="5" t="s">
        <v>0</v>
      </c>
      <c r="B1" s="5">
        <v>2005</v>
      </c>
      <c r="C1" s="5">
        <v>2006</v>
      </c>
      <c r="D1" s="5">
        <v>2007</v>
      </c>
      <c r="E1" s="5">
        <v>2008</v>
      </c>
      <c r="F1" s="5">
        <v>2009</v>
      </c>
      <c r="G1" s="5">
        <v>2010</v>
      </c>
      <c r="H1" s="5">
        <v>2011</v>
      </c>
      <c r="I1" s="5">
        <v>2012</v>
      </c>
      <c r="J1" s="5">
        <v>2013</v>
      </c>
      <c r="K1" s="5">
        <v>2014</v>
      </c>
      <c r="L1" s="5">
        <v>2015</v>
      </c>
      <c r="M1" s="5">
        <v>2016</v>
      </c>
      <c r="N1" s="5">
        <v>2017</v>
      </c>
      <c r="O1" s="5">
        <v>2018</v>
      </c>
      <c r="P1" s="5">
        <v>2019</v>
      </c>
      <c r="Q1" s="5">
        <v>2020</v>
      </c>
      <c r="R1" s="5">
        <v>2021</v>
      </c>
      <c r="S1" s="5">
        <v>2022</v>
      </c>
      <c r="T1" s="6" t="s">
        <v>27</v>
      </c>
    </row>
    <row r="2" spans="1:20" ht="15.6">
      <c r="A2" s="7" t="s">
        <v>1</v>
      </c>
      <c r="B2" s="11">
        <v>1230</v>
      </c>
      <c r="C2" s="11">
        <v>1528.7</v>
      </c>
      <c r="D2" s="11">
        <v>2432.1</v>
      </c>
      <c r="E2" s="4">
        <v>2804</v>
      </c>
      <c r="F2" s="4">
        <v>2819.6</v>
      </c>
      <c r="G2" s="4">
        <v>2774.8</v>
      </c>
      <c r="H2" s="4">
        <v>2899.6</v>
      </c>
      <c r="I2" s="4">
        <v>3242.8</v>
      </c>
      <c r="J2" s="3">
        <v>3166.9</v>
      </c>
      <c r="K2" s="1">
        <v>2949.03</v>
      </c>
      <c r="L2" s="8">
        <v>3570.62</v>
      </c>
      <c r="M2" s="8">
        <v>4143.55</v>
      </c>
      <c r="N2" s="4">
        <v>5000.07</v>
      </c>
      <c r="O2" s="4">
        <v>5601.31</v>
      </c>
      <c r="P2" s="4">
        <v>5861.7</v>
      </c>
      <c r="Q2" s="4">
        <v>5834.7</v>
      </c>
      <c r="R2" s="8">
        <v>5684.47</v>
      </c>
      <c r="S2" s="8">
        <v>6116.94</v>
      </c>
    </row>
    <row r="3" spans="1:20" ht="15.6">
      <c r="A3" s="7" t="s">
        <v>2</v>
      </c>
      <c r="B3" s="11">
        <v>10</v>
      </c>
      <c r="C3" s="11">
        <v>12.6</v>
      </c>
      <c r="D3" s="11">
        <v>13.6</v>
      </c>
      <c r="E3" s="4">
        <v>15.46</v>
      </c>
      <c r="F3" s="4">
        <v>16.37</v>
      </c>
      <c r="G3" s="4">
        <v>16.46</v>
      </c>
      <c r="H3" s="4">
        <v>17.28</v>
      </c>
      <c r="I3" s="4">
        <v>18.190000000000001</v>
      </c>
      <c r="J3" s="3">
        <v>19.100000000000001</v>
      </c>
      <c r="K3" s="2">
        <v>20</v>
      </c>
      <c r="L3" s="8">
        <v>31.64</v>
      </c>
      <c r="M3" s="8">
        <v>31.96</v>
      </c>
      <c r="N3" s="4">
        <v>14.08</v>
      </c>
      <c r="O3" s="4">
        <v>14.03</v>
      </c>
      <c r="P3" s="4">
        <v>14.03</v>
      </c>
      <c r="Q3" s="4">
        <v>14.03</v>
      </c>
      <c r="R3" s="8">
        <v>16.29</v>
      </c>
      <c r="S3" s="8">
        <v>16.29</v>
      </c>
    </row>
    <row r="4" spans="1:20" ht="15.6">
      <c r="A4" s="7" t="s">
        <v>3</v>
      </c>
      <c r="B4" s="11">
        <v>610</v>
      </c>
      <c r="C4" s="11">
        <v>699.4</v>
      </c>
      <c r="D4" s="11">
        <v>627.79999999999995</v>
      </c>
      <c r="E4" s="4">
        <v>852.6</v>
      </c>
      <c r="F4" s="4">
        <v>805.2</v>
      </c>
      <c r="G4" s="4">
        <v>723.6</v>
      </c>
      <c r="H4" s="4">
        <v>745.3</v>
      </c>
      <c r="I4" s="4">
        <v>837.02</v>
      </c>
      <c r="J4" s="3">
        <v>857.72</v>
      </c>
      <c r="K4" s="2">
        <v>907.11</v>
      </c>
      <c r="L4" s="8">
        <v>882.71</v>
      </c>
      <c r="M4" s="8">
        <v>979.34</v>
      </c>
      <c r="N4" s="4">
        <v>913.27</v>
      </c>
      <c r="O4" s="4">
        <v>917.79</v>
      </c>
      <c r="P4" s="4">
        <v>906.68</v>
      </c>
      <c r="Q4" s="4">
        <v>909.83</v>
      </c>
      <c r="R4" s="8">
        <v>1108</v>
      </c>
      <c r="S4" s="8">
        <v>1115.45</v>
      </c>
    </row>
    <row r="5" spans="1:20" ht="15.6">
      <c r="A5" s="7" t="s">
        <v>4</v>
      </c>
      <c r="B5" s="11">
        <v>920</v>
      </c>
      <c r="C5" s="11">
        <v>959.3</v>
      </c>
      <c r="D5" s="11">
        <v>1276.8</v>
      </c>
      <c r="E5" s="4">
        <v>1373.6</v>
      </c>
      <c r="F5" s="4">
        <v>1435.3</v>
      </c>
      <c r="G5" s="4">
        <v>1517.1</v>
      </c>
      <c r="H5" s="4">
        <v>1580</v>
      </c>
      <c r="I5" s="4">
        <v>1702.41</v>
      </c>
      <c r="J5" s="3">
        <v>1435.78</v>
      </c>
      <c r="K5" s="2">
        <v>1526.5</v>
      </c>
      <c r="L5" s="8">
        <v>1535.3</v>
      </c>
      <c r="M5" s="8">
        <v>1550.65</v>
      </c>
      <c r="N5" s="4">
        <v>1396.39</v>
      </c>
      <c r="O5" s="4">
        <v>1591.58</v>
      </c>
      <c r="P5" s="4">
        <v>1370.55</v>
      </c>
      <c r="Q5" s="4">
        <v>1612.56</v>
      </c>
      <c r="R5" s="8">
        <v>1968.21</v>
      </c>
      <c r="S5" s="8">
        <v>2004.27</v>
      </c>
    </row>
    <row r="6" spans="1:20" ht="15.6">
      <c r="A6" s="7" t="s">
        <v>5</v>
      </c>
      <c r="B6" s="11">
        <v>210</v>
      </c>
      <c r="C6" s="11">
        <v>235.4</v>
      </c>
      <c r="D6" s="11">
        <v>310.10000000000002</v>
      </c>
      <c r="E6" s="4">
        <v>351.39</v>
      </c>
      <c r="F6" s="4">
        <v>372.06</v>
      </c>
      <c r="G6" s="4">
        <v>380.6</v>
      </c>
      <c r="H6" s="4">
        <v>392.73</v>
      </c>
      <c r="I6" s="4">
        <v>413.4</v>
      </c>
      <c r="J6" s="3">
        <v>498.81</v>
      </c>
      <c r="K6" s="2">
        <v>532.64</v>
      </c>
      <c r="L6" s="8">
        <v>587.41999999999996</v>
      </c>
      <c r="M6" s="8">
        <v>618.91999999999996</v>
      </c>
      <c r="N6" s="4">
        <v>745.78</v>
      </c>
      <c r="O6" s="4">
        <v>615.03</v>
      </c>
      <c r="P6" s="4">
        <v>602.72</v>
      </c>
      <c r="Q6" s="4">
        <v>585.71</v>
      </c>
      <c r="R6" s="8">
        <v>587.15</v>
      </c>
      <c r="S6" s="8">
        <v>590.15</v>
      </c>
    </row>
    <row r="7" spans="1:20" ht="15.6">
      <c r="A7" s="7" t="s">
        <v>25</v>
      </c>
      <c r="B7" s="11">
        <v>1979</v>
      </c>
      <c r="C7" s="11">
        <v>2498.8000000000002</v>
      </c>
      <c r="D7" s="11">
        <v>3392.6</v>
      </c>
      <c r="E7" s="4">
        <v>3571.6</v>
      </c>
      <c r="F7" s="4">
        <v>3779.8</v>
      </c>
      <c r="G7" s="4">
        <v>3978</v>
      </c>
      <c r="H7" s="4">
        <v>4047.8</v>
      </c>
      <c r="I7" s="4">
        <v>4523.49</v>
      </c>
      <c r="J7" s="3">
        <v>4225.49</v>
      </c>
      <c r="K7" s="2">
        <v>4225.49</v>
      </c>
      <c r="L7" s="8">
        <v>4185.5200000000004</v>
      </c>
      <c r="M7" s="8">
        <v>4185.5200000000004</v>
      </c>
      <c r="N7" s="4">
        <v>4472.32</v>
      </c>
      <c r="O7" s="4">
        <v>4610.6099999999997</v>
      </c>
      <c r="P7" s="4">
        <v>4627.5200000000004</v>
      </c>
      <c r="Q7" s="4">
        <v>3907.21</v>
      </c>
      <c r="R7" s="8">
        <v>3971.56</v>
      </c>
      <c r="S7" s="8">
        <v>3994.55</v>
      </c>
    </row>
    <row r="8" spans="1:20" ht="15.6">
      <c r="A8" s="7" t="s">
        <v>6</v>
      </c>
      <c r="B8" s="11">
        <v>0.12</v>
      </c>
      <c r="C8" s="11">
        <v>0.12</v>
      </c>
      <c r="D8" s="11">
        <v>0.28999999999999998</v>
      </c>
      <c r="E8" s="4">
        <v>0.33</v>
      </c>
      <c r="F8" s="4">
        <v>0.35</v>
      </c>
      <c r="G8" s="4">
        <v>0.35</v>
      </c>
      <c r="H8" s="4">
        <v>0.37</v>
      </c>
      <c r="I8" s="4">
        <v>0.39</v>
      </c>
      <c r="J8" s="3">
        <v>0.28999999999999998</v>
      </c>
      <c r="K8" s="2">
        <v>0.42</v>
      </c>
      <c r="L8" s="8">
        <v>0.42</v>
      </c>
      <c r="M8" s="8">
        <v>0.35</v>
      </c>
      <c r="N8" s="4">
        <v>0.35</v>
      </c>
      <c r="O8" s="4">
        <v>0.25</v>
      </c>
      <c r="P8" s="4">
        <v>0.18</v>
      </c>
      <c r="Q8" s="4">
        <v>0.12</v>
      </c>
      <c r="R8" s="8">
        <v>0.1</v>
      </c>
      <c r="S8" s="8">
        <v>0.1</v>
      </c>
    </row>
    <row r="9" spans="1:20" ht="15.6">
      <c r="A9" s="7" t="s">
        <v>7</v>
      </c>
      <c r="B9" s="11">
        <v>0.53</v>
      </c>
      <c r="C9" s="11">
        <v>0.66</v>
      </c>
      <c r="D9" s="11">
        <v>0.95</v>
      </c>
      <c r="E9" s="4">
        <v>1.07</v>
      </c>
      <c r="F9" s="4">
        <v>1.1299999999999999</v>
      </c>
      <c r="G9" s="4">
        <v>1.19</v>
      </c>
      <c r="H9" s="4">
        <v>1.2</v>
      </c>
      <c r="I9" s="4">
        <v>1.26</v>
      </c>
      <c r="J9" s="3">
        <v>1.29</v>
      </c>
      <c r="K9" s="2">
        <v>1.3</v>
      </c>
      <c r="L9" s="8">
        <v>33.28</v>
      </c>
      <c r="M9" s="8">
        <v>31.47</v>
      </c>
      <c r="N9" s="4">
        <v>32.06</v>
      </c>
      <c r="O9" s="4">
        <v>32.75</v>
      </c>
      <c r="P9" s="4">
        <v>31.11</v>
      </c>
      <c r="Q9" s="4">
        <v>32.869999999999997</v>
      </c>
      <c r="R9" s="8">
        <v>33.07</v>
      </c>
      <c r="S9" s="8">
        <v>41.02</v>
      </c>
    </row>
    <row r="10" spans="1:20" ht="15.6">
      <c r="A10" s="7" t="s">
        <v>8</v>
      </c>
      <c r="B10" s="11">
        <v>1345</v>
      </c>
      <c r="C10" s="11">
        <v>1399.1</v>
      </c>
      <c r="D10" s="11">
        <v>1897.2</v>
      </c>
      <c r="E10" s="4">
        <v>1918.8</v>
      </c>
      <c r="F10" s="4">
        <v>2132.3000000000002</v>
      </c>
      <c r="G10" s="4">
        <v>2281.6</v>
      </c>
      <c r="H10" s="4">
        <v>2351.5</v>
      </c>
      <c r="I10" s="4">
        <v>2529.6</v>
      </c>
      <c r="J10" s="3">
        <v>2675.63</v>
      </c>
      <c r="K10" s="2">
        <v>2710.84</v>
      </c>
      <c r="L10" s="8">
        <v>2370.9499999999998</v>
      </c>
      <c r="M10" s="8">
        <v>2489.5</v>
      </c>
      <c r="N10" s="4">
        <v>2328.9</v>
      </c>
      <c r="O10" s="4">
        <v>2146.7199999999998</v>
      </c>
      <c r="P10" s="4">
        <v>2613.81</v>
      </c>
      <c r="Q10" s="4">
        <v>3367.67</v>
      </c>
      <c r="R10" s="8">
        <v>3430.22</v>
      </c>
      <c r="S10" s="8">
        <v>2973.3</v>
      </c>
    </row>
    <row r="11" spans="1:20" ht="15.6">
      <c r="A11" s="7" t="s">
        <v>9</v>
      </c>
      <c r="B11" s="11">
        <v>420</v>
      </c>
      <c r="C11" s="11">
        <v>443.1</v>
      </c>
      <c r="D11" s="11">
        <v>386.7</v>
      </c>
      <c r="E11" s="4">
        <v>472.9</v>
      </c>
      <c r="F11" s="4">
        <v>406.2</v>
      </c>
      <c r="G11" s="4">
        <f>(F11+H11)/2</f>
        <v>448.01499999999999</v>
      </c>
      <c r="H11" s="4">
        <v>489.83</v>
      </c>
      <c r="I11" s="4">
        <v>515.61</v>
      </c>
      <c r="J11" s="3">
        <v>528.21</v>
      </c>
      <c r="K11" s="2">
        <v>1160.25</v>
      </c>
      <c r="L11" s="8">
        <v>1292.4100000000001</v>
      </c>
      <c r="M11" s="8">
        <v>1224.1300000000001</v>
      </c>
      <c r="N11" s="4">
        <v>1119.1600000000001</v>
      </c>
      <c r="O11" s="4">
        <v>807.15</v>
      </c>
      <c r="P11" s="4">
        <v>955.33</v>
      </c>
      <c r="Q11" s="4">
        <v>957.05</v>
      </c>
      <c r="R11" s="8">
        <v>871.26</v>
      </c>
      <c r="S11" s="8">
        <v>878.14</v>
      </c>
    </row>
    <row r="12" spans="1:20" ht="15.6">
      <c r="A12" s="7" t="s">
        <v>10</v>
      </c>
      <c r="B12" s="11">
        <v>750</v>
      </c>
      <c r="C12" s="11">
        <v>615.6</v>
      </c>
      <c r="D12" s="11">
        <v>1275.8</v>
      </c>
      <c r="E12" s="4">
        <v>1498</v>
      </c>
      <c r="F12" s="4">
        <v>1459.8</v>
      </c>
      <c r="G12" s="4">
        <v>1719.6</v>
      </c>
      <c r="H12" s="4">
        <v>1379.2</v>
      </c>
      <c r="I12" s="4">
        <v>1701</v>
      </c>
      <c r="J12" s="3">
        <v>1735</v>
      </c>
      <c r="K12" s="2">
        <v>1813</v>
      </c>
      <c r="L12" s="8">
        <v>1758.05</v>
      </c>
      <c r="M12" s="8">
        <v>1646.89</v>
      </c>
      <c r="N12" s="4">
        <v>1834.03</v>
      </c>
      <c r="O12" s="4">
        <v>1853.03</v>
      </c>
      <c r="P12" s="4">
        <v>1847.64</v>
      </c>
      <c r="Q12" s="4">
        <v>2025.46</v>
      </c>
      <c r="R12" s="8">
        <v>2219.2800000000002</v>
      </c>
      <c r="S12" s="8">
        <v>2060.1999999999998</v>
      </c>
    </row>
    <row r="13" spans="1:20" ht="15.6">
      <c r="A13" s="7" t="s">
        <v>11</v>
      </c>
      <c r="B13" s="11">
        <v>4535</v>
      </c>
      <c r="C13" s="11">
        <v>4608.5</v>
      </c>
      <c r="D13" s="11">
        <v>2700</v>
      </c>
      <c r="E13" s="4">
        <v>4960</v>
      </c>
      <c r="F13" s="4">
        <f>(E13+G13)/2</f>
        <v>4631.5</v>
      </c>
      <c r="G13" s="4">
        <v>4303</v>
      </c>
      <c r="H13" s="4">
        <v>4315</v>
      </c>
      <c r="I13" s="4">
        <v>3600</v>
      </c>
      <c r="J13" s="3">
        <v>4830.6000000000004</v>
      </c>
      <c r="K13" s="2">
        <v>3557.97</v>
      </c>
      <c r="L13" s="8">
        <v>3025.15</v>
      </c>
      <c r="M13" s="8">
        <v>3072.49</v>
      </c>
      <c r="N13" s="4">
        <v>4209.2700000000004</v>
      </c>
      <c r="O13" s="4">
        <v>3562.4</v>
      </c>
      <c r="P13" s="4">
        <v>4153.6499999999996</v>
      </c>
      <c r="Q13" s="4">
        <v>4223.05</v>
      </c>
      <c r="R13" s="8">
        <v>4910.93</v>
      </c>
      <c r="S13" s="8">
        <v>5626.26</v>
      </c>
    </row>
    <row r="14" spans="1:20" ht="15.6">
      <c r="A14" s="7" t="s">
        <v>12</v>
      </c>
      <c r="B14" s="11">
        <v>35</v>
      </c>
      <c r="C14" s="11">
        <v>37.5</v>
      </c>
      <c r="D14" s="11">
        <v>66.099999999999994</v>
      </c>
      <c r="E14" s="4">
        <v>74.95</v>
      </c>
      <c r="F14" s="4">
        <v>79.36</v>
      </c>
      <c r="G14" s="4">
        <f>(F14+H14)/2</f>
        <v>81.564999999999998</v>
      </c>
      <c r="H14" s="4">
        <v>83.77</v>
      </c>
      <c r="I14" s="4">
        <v>88.18</v>
      </c>
      <c r="J14" s="3">
        <v>90.45</v>
      </c>
      <c r="K14" s="2">
        <v>96.36</v>
      </c>
      <c r="L14" s="8">
        <v>93.95</v>
      </c>
      <c r="M14" s="8">
        <v>89.86</v>
      </c>
      <c r="N14" s="4">
        <v>93.48</v>
      </c>
      <c r="O14" s="4">
        <v>91.38</v>
      </c>
      <c r="P14" s="4">
        <v>91.8</v>
      </c>
      <c r="Q14" s="4">
        <v>88.5</v>
      </c>
      <c r="R14" s="8">
        <v>86.49</v>
      </c>
      <c r="S14" s="8">
        <v>86.49</v>
      </c>
    </row>
    <row r="15" spans="1:20" ht="15.6">
      <c r="A15" s="7" t="s">
        <v>13</v>
      </c>
      <c r="B15" s="11">
        <v>75</v>
      </c>
      <c r="C15" s="11">
        <v>82.4</v>
      </c>
      <c r="D15" s="11">
        <v>63</v>
      </c>
      <c r="E15" s="4">
        <v>71.39</v>
      </c>
      <c r="F15" s="4">
        <v>75.59</v>
      </c>
      <c r="G15" s="4">
        <f>(F15+H15)/2</f>
        <v>77.69</v>
      </c>
      <c r="H15" s="4">
        <v>79.790000000000006</v>
      </c>
      <c r="I15" s="4">
        <v>83.99</v>
      </c>
      <c r="J15" s="3">
        <v>86.43</v>
      </c>
      <c r="K15" s="2">
        <v>88.7</v>
      </c>
      <c r="L15" s="8">
        <v>88.71</v>
      </c>
      <c r="M15" s="8">
        <v>94.32</v>
      </c>
      <c r="N15" s="4">
        <v>96.9</v>
      </c>
      <c r="O15" s="4">
        <v>94.72</v>
      </c>
      <c r="P15" s="4">
        <v>94.8</v>
      </c>
      <c r="Q15" s="4">
        <v>95.01</v>
      </c>
      <c r="R15" s="8">
        <v>95.85</v>
      </c>
      <c r="S15" s="8">
        <v>100.48</v>
      </c>
    </row>
    <row r="16" spans="1:20" ht="15.6">
      <c r="A16" s="7" t="s">
        <v>14</v>
      </c>
      <c r="B16" s="11">
        <v>200</v>
      </c>
      <c r="C16" s="11">
        <v>215.3</v>
      </c>
      <c r="D16" s="11">
        <v>95.6</v>
      </c>
      <c r="E16" s="4">
        <v>108.4</v>
      </c>
      <c r="F16" s="4">
        <v>114.78</v>
      </c>
      <c r="G16" s="4">
        <f>(F16+H16)/2</f>
        <v>117.965</v>
      </c>
      <c r="H16" s="4">
        <v>121.15</v>
      </c>
      <c r="I16" s="4">
        <v>127.53</v>
      </c>
      <c r="J16" s="3">
        <v>140.91999999999999</v>
      </c>
      <c r="K16" s="2">
        <v>146.09</v>
      </c>
      <c r="L16" s="8">
        <v>141.03</v>
      </c>
      <c r="M16" s="8">
        <v>141.04</v>
      </c>
      <c r="N16" s="4">
        <v>143.84</v>
      </c>
      <c r="O16" s="4">
        <v>143.84</v>
      </c>
      <c r="P16" s="4">
        <v>140.5</v>
      </c>
      <c r="Q16" s="4">
        <v>140.5</v>
      </c>
      <c r="R16" s="8">
        <v>140.5</v>
      </c>
      <c r="S16" s="8">
        <v>140.5</v>
      </c>
    </row>
    <row r="17" spans="1:19" ht="15.6">
      <c r="A17" s="7" t="s">
        <v>15</v>
      </c>
      <c r="B17" s="11">
        <v>60</v>
      </c>
      <c r="C17" s="11">
        <v>67.2</v>
      </c>
      <c r="D17" s="11">
        <v>60</v>
      </c>
      <c r="E17" s="4">
        <v>68</v>
      </c>
      <c r="F17" s="4">
        <v>72</v>
      </c>
      <c r="G17" s="4">
        <f>(F17+H17)/2</f>
        <v>74</v>
      </c>
      <c r="H17" s="4">
        <v>76</v>
      </c>
      <c r="I17" s="4">
        <v>80</v>
      </c>
      <c r="J17" s="3">
        <v>109.8</v>
      </c>
      <c r="K17" s="2">
        <v>109.8</v>
      </c>
      <c r="L17" s="8">
        <v>108.51</v>
      </c>
      <c r="M17" s="8">
        <v>116.72</v>
      </c>
      <c r="N17" s="4">
        <v>117.04</v>
      </c>
      <c r="O17" s="4">
        <v>86.96</v>
      </c>
      <c r="P17" s="4">
        <v>87.36</v>
      </c>
      <c r="Q17" s="4">
        <v>87.28</v>
      </c>
      <c r="R17" s="8">
        <v>86.62</v>
      </c>
      <c r="S17" s="8">
        <v>94.78</v>
      </c>
    </row>
    <row r="18" spans="1:19" ht="15.6">
      <c r="A18" s="7" t="s">
        <v>16</v>
      </c>
      <c r="B18" s="11">
        <v>280</v>
      </c>
      <c r="C18" s="11">
        <v>301.60000000000002</v>
      </c>
      <c r="D18" s="11">
        <v>390.9</v>
      </c>
      <c r="E18" s="4">
        <v>443.11</v>
      </c>
      <c r="F18" s="4">
        <v>469.18</v>
      </c>
      <c r="G18" s="4">
        <v>488.7</v>
      </c>
      <c r="H18" s="4">
        <v>506.2</v>
      </c>
      <c r="I18" s="4">
        <v>521.30999999999995</v>
      </c>
      <c r="J18" s="3">
        <v>476.6</v>
      </c>
      <c r="K18" s="2">
        <v>467.73</v>
      </c>
      <c r="L18" s="8">
        <v>462.71</v>
      </c>
      <c r="M18" s="8">
        <v>466.62</v>
      </c>
      <c r="N18" s="4">
        <v>449.82</v>
      </c>
      <c r="O18" s="4">
        <v>408.69</v>
      </c>
      <c r="P18" s="4">
        <v>483.17</v>
      </c>
      <c r="Q18" s="4">
        <v>502.83</v>
      </c>
      <c r="R18" s="8">
        <v>504.04</v>
      </c>
      <c r="S18" s="8">
        <v>504.06</v>
      </c>
    </row>
    <row r="19" spans="1:19" ht="15.6">
      <c r="A19" s="7" t="s">
        <v>17</v>
      </c>
      <c r="B19" s="11">
        <v>5</v>
      </c>
      <c r="C19" s="11">
        <v>5.8</v>
      </c>
      <c r="D19" s="11">
        <v>7.3</v>
      </c>
      <c r="E19" s="4">
        <v>8.32</v>
      </c>
      <c r="F19" s="4">
        <v>8.81</v>
      </c>
      <c r="G19" s="4">
        <f t="shared" ref="G19:G24" si="0">(F19+H19)/2</f>
        <v>9.0549999999999997</v>
      </c>
      <c r="H19" s="4">
        <v>9.3000000000000007</v>
      </c>
      <c r="I19" s="4">
        <v>9.7899999999999991</v>
      </c>
      <c r="J19" s="3">
        <v>9.32</v>
      </c>
      <c r="K19" s="2">
        <v>9.43</v>
      </c>
      <c r="L19" s="8">
        <v>6.43</v>
      </c>
      <c r="M19" s="8">
        <v>6.72</v>
      </c>
      <c r="N19" s="4">
        <v>5.27</v>
      </c>
      <c r="O19" s="4">
        <v>5.39</v>
      </c>
      <c r="P19" s="4">
        <v>5.68</v>
      </c>
      <c r="Q19" s="4">
        <v>9.0500000000000007</v>
      </c>
      <c r="R19" s="8">
        <v>11.36</v>
      </c>
      <c r="S19" s="8">
        <v>11.76</v>
      </c>
    </row>
    <row r="20" spans="1:19" ht="15.6">
      <c r="A20" s="7" t="s">
        <v>18</v>
      </c>
      <c r="B20" s="11">
        <v>1</v>
      </c>
      <c r="C20" s="11">
        <v>1.4</v>
      </c>
      <c r="D20" s="11">
        <v>0.67</v>
      </c>
      <c r="E20" s="4">
        <v>0.76</v>
      </c>
      <c r="F20" s="4">
        <v>0.8</v>
      </c>
      <c r="G20" s="4">
        <f t="shared" si="0"/>
        <v>0.82499999999999996</v>
      </c>
      <c r="H20" s="4">
        <v>0.85</v>
      </c>
      <c r="I20" s="4">
        <v>0.89</v>
      </c>
      <c r="J20" s="3">
        <v>0.64</v>
      </c>
      <c r="K20" s="2">
        <v>0.06</v>
      </c>
      <c r="L20" s="8">
        <v>0.41</v>
      </c>
      <c r="M20" s="8">
        <v>0.41</v>
      </c>
      <c r="N20" s="4">
        <v>0.68</v>
      </c>
      <c r="O20" s="4">
        <v>0.74</v>
      </c>
      <c r="P20" s="4">
        <v>0.27</v>
      </c>
      <c r="Q20" s="4">
        <v>0.41</v>
      </c>
      <c r="R20" s="8">
        <v>0.39</v>
      </c>
      <c r="S20" s="8">
        <v>0.33</v>
      </c>
    </row>
    <row r="21" spans="1:19" ht="15.6">
      <c r="A21" s="7" t="s">
        <v>19</v>
      </c>
      <c r="B21" s="11">
        <v>3</v>
      </c>
      <c r="C21" s="11">
        <v>3.2</v>
      </c>
      <c r="D21" s="11">
        <v>2.92</v>
      </c>
      <c r="E21" s="4">
        <v>3.31</v>
      </c>
      <c r="F21" s="4">
        <v>3.5</v>
      </c>
      <c r="G21" s="4">
        <f t="shared" si="0"/>
        <v>3.6</v>
      </c>
      <c r="H21" s="4">
        <v>3.7</v>
      </c>
      <c r="I21" s="4">
        <v>3.89</v>
      </c>
      <c r="J21" s="3">
        <v>3.89</v>
      </c>
      <c r="K21" s="2">
        <v>4.09</v>
      </c>
      <c r="L21" s="8">
        <v>3.56</v>
      </c>
      <c r="M21" s="8">
        <v>3.87</v>
      </c>
      <c r="N21" s="4">
        <v>3.71</v>
      </c>
      <c r="O21" s="4">
        <v>3.75</v>
      </c>
      <c r="P21" s="4">
        <v>3.75</v>
      </c>
      <c r="Q21" s="4">
        <v>5.53</v>
      </c>
      <c r="R21" s="8">
        <v>5.54</v>
      </c>
      <c r="S21" s="8">
        <v>5.55</v>
      </c>
    </row>
    <row r="22" spans="1:19" ht="15.6">
      <c r="A22" s="7" t="s">
        <v>20</v>
      </c>
      <c r="B22" s="11">
        <v>3462</v>
      </c>
      <c r="C22" s="11">
        <v>4647.6000000000004</v>
      </c>
      <c r="D22" s="11">
        <v>3852.2</v>
      </c>
      <c r="E22" s="4">
        <f>(D22+F22)/2</f>
        <v>4416.5499999999993</v>
      </c>
      <c r="F22" s="4">
        <v>4980.8999999999996</v>
      </c>
      <c r="G22" s="4">
        <f t="shared" si="0"/>
        <v>5239.1625000000004</v>
      </c>
      <c r="H22" s="4">
        <v>5497.4250000000002</v>
      </c>
      <c r="I22" s="4">
        <v>5136.2</v>
      </c>
      <c r="J22" s="3">
        <v>5650</v>
      </c>
      <c r="K22" s="2">
        <f>(J22+L22)/2</f>
        <v>4990.8249999999998</v>
      </c>
      <c r="L22" s="8">
        <v>4331.6499999999996</v>
      </c>
      <c r="M22" s="8">
        <v>3640.73</v>
      </c>
      <c r="N22" s="4">
        <v>3205.04</v>
      </c>
      <c r="O22" s="4">
        <v>3153.55</v>
      </c>
      <c r="P22" s="4">
        <v>3986.73</v>
      </c>
      <c r="Q22" s="4">
        <v>3895.65</v>
      </c>
      <c r="R22" s="8">
        <v>3953.67</v>
      </c>
      <c r="S22" s="8">
        <v>4522.62</v>
      </c>
    </row>
    <row r="23" spans="1:19" ht="15.6">
      <c r="A23" s="7" t="s">
        <v>21</v>
      </c>
      <c r="B23" s="11">
        <v>300</v>
      </c>
      <c r="C23" s="11">
        <v>345.7</v>
      </c>
      <c r="D23" s="11">
        <v>100.3</v>
      </c>
      <c r="E23" s="4">
        <v>113.65</v>
      </c>
      <c r="F23" s="4">
        <v>120.33</v>
      </c>
      <c r="G23" s="4">
        <f t="shared" si="0"/>
        <v>123.675</v>
      </c>
      <c r="H23" s="4">
        <v>127.02</v>
      </c>
      <c r="I23" s="4">
        <v>133.69999999999999</v>
      </c>
      <c r="J23" s="3">
        <v>301.49</v>
      </c>
      <c r="K23" s="2">
        <v>268.56</v>
      </c>
      <c r="L23" s="8">
        <v>183.7</v>
      </c>
      <c r="M23" s="8">
        <v>143.88</v>
      </c>
      <c r="N23" s="4">
        <v>90.02</v>
      </c>
      <c r="O23" s="4">
        <v>108.55</v>
      </c>
      <c r="P23" s="4">
        <v>91.04</v>
      </c>
      <c r="Q23" s="4">
        <v>100.12</v>
      </c>
      <c r="R23" s="8">
        <v>84.95</v>
      </c>
      <c r="S23" s="8">
        <v>109.61</v>
      </c>
    </row>
    <row r="24" spans="1:19" ht="15.6">
      <c r="A24" s="7" t="s">
        <v>22</v>
      </c>
      <c r="B24" s="11">
        <v>95</v>
      </c>
      <c r="C24" s="11">
        <v>102.6</v>
      </c>
      <c r="D24" s="11">
        <v>83.5</v>
      </c>
      <c r="E24" s="4">
        <v>94.62</v>
      </c>
      <c r="F24" s="4">
        <v>100.19</v>
      </c>
      <c r="G24" s="4">
        <f t="shared" si="0"/>
        <v>102.97</v>
      </c>
      <c r="H24" s="4">
        <v>105.75</v>
      </c>
      <c r="I24" s="4">
        <v>133.69999999999999</v>
      </c>
      <c r="J24" s="3">
        <v>134.25</v>
      </c>
      <c r="K24" s="2">
        <v>72</v>
      </c>
      <c r="L24" s="8">
        <v>153.62</v>
      </c>
      <c r="M24" s="8">
        <v>152.08000000000001</v>
      </c>
      <c r="N24" s="4">
        <v>109.4</v>
      </c>
      <c r="O24" s="4">
        <v>109.52</v>
      </c>
      <c r="P24" s="4">
        <v>110.24</v>
      </c>
      <c r="Q24" s="4">
        <v>111.11</v>
      </c>
      <c r="R24" s="8">
        <v>110.47</v>
      </c>
      <c r="S24" s="8">
        <v>114.22</v>
      </c>
    </row>
    <row r="25" spans="1:19" ht="15.6">
      <c r="A25" s="7" t="s">
        <v>23</v>
      </c>
      <c r="B25" s="11">
        <v>1100</v>
      </c>
      <c r="C25" s="11">
        <v>1165.9000000000001</v>
      </c>
      <c r="D25" s="11">
        <v>808.4</v>
      </c>
      <c r="E25" s="4">
        <v>916.13</v>
      </c>
      <c r="F25" s="4">
        <v>1138.5999999999999</v>
      </c>
      <c r="G25" s="4">
        <v>1346.1</v>
      </c>
      <c r="H25" s="4">
        <v>1023.91</v>
      </c>
      <c r="I25" s="4">
        <v>1111.32</v>
      </c>
      <c r="J25" s="3">
        <v>1599.02</v>
      </c>
      <c r="K25" s="2">
        <v>1950.62</v>
      </c>
      <c r="L25" s="8">
        <v>3061.21</v>
      </c>
      <c r="M25" s="8">
        <v>3078.73</v>
      </c>
      <c r="N25" s="4">
        <v>3172.33</v>
      </c>
      <c r="O25" s="4">
        <v>3222.57</v>
      </c>
      <c r="P25" s="4">
        <v>3332.14</v>
      </c>
      <c r="Q25" s="4">
        <v>3387.51</v>
      </c>
      <c r="R25" s="8">
        <v>3391.01</v>
      </c>
      <c r="S25" s="8">
        <v>4037.9</v>
      </c>
    </row>
    <row r="26" spans="1:19" ht="15.6">
      <c r="A26" s="7" t="s">
        <v>24</v>
      </c>
      <c r="B26" s="11">
        <v>800</v>
      </c>
      <c r="C26" s="11">
        <v>756.9</v>
      </c>
      <c r="D26" s="11">
        <v>756.9</v>
      </c>
      <c r="E26" s="4">
        <v>954.1</v>
      </c>
      <c r="F26" s="4">
        <v>982.2</v>
      </c>
      <c r="G26" s="4">
        <v>1010.1</v>
      </c>
      <c r="H26" s="4">
        <v>1054</v>
      </c>
      <c r="I26" s="4">
        <v>1077.8</v>
      </c>
      <c r="J26" s="3">
        <v>1097.5</v>
      </c>
      <c r="K26" s="2">
        <v>1124</v>
      </c>
      <c r="L26" s="8">
        <v>1172.3399999999999</v>
      </c>
      <c r="M26" s="8">
        <v>1195.5999999999999</v>
      </c>
      <c r="N26" s="4">
        <v>1200</v>
      </c>
      <c r="O26" s="4">
        <v>1223.25</v>
      </c>
      <c r="P26" s="4">
        <v>1132.6500000000001</v>
      </c>
      <c r="Q26" s="4">
        <v>1116.4100000000001</v>
      </c>
      <c r="R26" s="8">
        <v>1203.73</v>
      </c>
      <c r="S26" s="8">
        <v>1416.13</v>
      </c>
    </row>
    <row r="32" spans="1:19">
      <c r="A32" s="4"/>
      <c r="B32" s="12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9"/>
      <c r="P32" s="9"/>
      <c r="Q32" s="9"/>
      <c r="R32" s="9"/>
    </row>
    <row r="33" spans="1:18">
      <c r="A33" s="13"/>
      <c r="B33" s="13"/>
      <c r="C33" s="14"/>
      <c r="D33" s="12"/>
      <c r="E33" s="12"/>
      <c r="F33" s="14"/>
      <c r="G33" s="12"/>
      <c r="H33" s="12"/>
      <c r="I33" s="15"/>
      <c r="J33" s="15"/>
      <c r="K33" s="15"/>
      <c r="L33" s="14"/>
      <c r="M33" s="12"/>
      <c r="N33" s="12"/>
      <c r="O33" s="10"/>
      <c r="P33" s="10"/>
      <c r="Q33" s="10"/>
      <c r="R33" s="10"/>
    </row>
    <row r="34" spans="1:18">
      <c r="A34" s="13"/>
      <c r="B34" s="13"/>
      <c r="C34" s="14"/>
      <c r="D34" s="12"/>
      <c r="E34" s="12"/>
      <c r="F34" s="14"/>
      <c r="G34" s="12"/>
      <c r="H34" s="12"/>
      <c r="I34" s="14"/>
      <c r="J34" s="12"/>
      <c r="K34" s="12"/>
      <c r="L34" s="14"/>
      <c r="M34" s="12"/>
      <c r="N34" s="12"/>
      <c r="O34" s="10"/>
      <c r="P34" s="10"/>
      <c r="Q34" s="10"/>
      <c r="R34" s="10"/>
    </row>
    <row r="35" spans="1:18">
      <c r="A35" s="13"/>
      <c r="B35" s="13"/>
      <c r="C35" s="14"/>
      <c r="D35" s="12"/>
      <c r="E35" s="12"/>
      <c r="F35" s="14"/>
      <c r="G35" s="12"/>
      <c r="H35" s="12"/>
      <c r="I35" s="14"/>
      <c r="J35" s="12"/>
      <c r="K35" s="12"/>
      <c r="L35" s="14"/>
      <c r="M35" s="12"/>
      <c r="N35" s="12"/>
      <c r="O35" s="10"/>
      <c r="P35" s="10"/>
      <c r="Q35" s="10"/>
      <c r="R35" s="10"/>
    </row>
    <row r="36" spans="1:18">
      <c r="A36" s="13"/>
      <c r="B36" s="13"/>
      <c r="C36" s="14"/>
      <c r="D36" s="12"/>
      <c r="E36" s="12"/>
      <c r="F36" s="14"/>
      <c r="G36" s="12"/>
      <c r="H36" s="12"/>
      <c r="I36" s="14"/>
      <c r="J36" s="12"/>
      <c r="K36" s="12"/>
      <c r="L36" s="14"/>
      <c r="M36" s="12"/>
      <c r="N36" s="12"/>
      <c r="O36" s="10"/>
      <c r="P36" s="10"/>
      <c r="Q36" s="10"/>
      <c r="R36" s="10"/>
    </row>
    <row r="37" spans="1:18">
      <c r="A37" s="13"/>
      <c r="B37" s="13"/>
      <c r="C37" s="14"/>
      <c r="D37" s="12"/>
      <c r="E37" s="12"/>
      <c r="F37" s="14"/>
      <c r="G37" s="12"/>
      <c r="H37" s="12"/>
      <c r="I37" s="14"/>
      <c r="J37" s="12"/>
      <c r="K37" s="12"/>
      <c r="L37" s="14"/>
      <c r="M37" s="12"/>
      <c r="N37" s="12"/>
      <c r="O37" s="10"/>
      <c r="P37" s="10"/>
      <c r="Q37" s="10"/>
      <c r="R37" s="10"/>
    </row>
    <row r="38" spans="1:18">
      <c r="A38" s="13"/>
      <c r="B38" s="13"/>
      <c r="C38" s="14"/>
      <c r="D38" s="12"/>
      <c r="E38" s="12"/>
      <c r="F38" s="14"/>
      <c r="G38" s="12"/>
      <c r="H38" s="12"/>
      <c r="I38" s="14"/>
      <c r="J38" s="12"/>
      <c r="K38" s="12"/>
      <c r="L38" s="14"/>
      <c r="M38" s="12"/>
      <c r="N38" s="12"/>
      <c r="O38" s="10"/>
      <c r="P38" s="10"/>
      <c r="Q38" s="10"/>
      <c r="R38" s="10"/>
    </row>
    <row r="39" spans="1:18">
      <c r="A39" s="13"/>
      <c r="B39" s="13"/>
      <c r="C39" s="14"/>
      <c r="D39" s="12"/>
      <c r="E39" s="12"/>
      <c r="F39" s="14"/>
      <c r="G39" s="12"/>
      <c r="H39" s="12"/>
      <c r="I39" s="14"/>
      <c r="J39" s="12"/>
      <c r="K39" s="12"/>
      <c r="L39" s="14"/>
      <c r="M39" s="12"/>
      <c r="N39" s="12"/>
      <c r="O39" s="10"/>
      <c r="P39" s="10"/>
      <c r="Q39" s="10"/>
      <c r="R39" s="10"/>
    </row>
    <row r="40" spans="1:18">
      <c r="A40" s="13"/>
      <c r="B40" s="13"/>
      <c r="C40" s="14"/>
      <c r="D40" s="12"/>
      <c r="E40" s="12"/>
      <c r="F40" s="14"/>
      <c r="G40" s="12"/>
      <c r="H40" s="12"/>
      <c r="I40" s="14"/>
      <c r="J40" s="12"/>
      <c r="K40" s="12"/>
      <c r="L40" s="14"/>
      <c r="M40" s="12"/>
      <c r="N40" s="12"/>
      <c r="O40" s="10"/>
      <c r="P40" s="10"/>
      <c r="Q40" s="10"/>
      <c r="R40" s="10"/>
    </row>
    <row r="41" spans="1:18">
      <c r="A41" s="13"/>
      <c r="B41" s="13"/>
      <c r="C41" s="14"/>
      <c r="D41" s="12"/>
      <c r="E41" s="12"/>
      <c r="F41" s="14"/>
      <c r="G41" s="12"/>
      <c r="H41" s="12"/>
      <c r="I41" s="14"/>
      <c r="J41" s="12"/>
      <c r="K41" s="12"/>
      <c r="L41" s="14"/>
      <c r="M41" s="12"/>
      <c r="N41" s="12"/>
      <c r="O41" s="10"/>
      <c r="P41" s="10"/>
      <c r="Q41" s="10"/>
      <c r="R41" s="10"/>
    </row>
    <row r="42" spans="1:18">
      <c r="A42" s="13"/>
      <c r="B42" s="13"/>
      <c r="C42" s="14"/>
      <c r="D42" s="12"/>
      <c r="E42" s="12"/>
      <c r="F42" s="14"/>
      <c r="G42" s="12"/>
      <c r="H42" s="12"/>
      <c r="I42" s="14"/>
      <c r="J42" s="12"/>
      <c r="K42" s="12"/>
      <c r="L42" s="14"/>
      <c r="M42" s="12"/>
      <c r="N42" s="12"/>
      <c r="O42" s="10"/>
      <c r="P42" s="10"/>
      <c r="Q42" s="10"/>
      <c r="R42" s="10"/>
    </row>
    <row r="43" spans="1:18">
      <c r="A43" s="13"/>
      <c r="B43" s="13"/>
      <c r="C43" s="14"/>
      <c r="D43" s="12"/>
      <c r="E43" s="12"/>
      <c r="F43" s="14"/>
      <c r="G43" s="12"/>
      <c r="H43" s="12"/>
      <c r="I43" s="14"/>
      <c r="J43" s="12"/>
      <c r="K43" s="12"/>
      <c r="L43" s="14"/>
      <c r="M43" s="12"/>
      <c r="N43" s="12"/>
      <c r="O43" s="10"/>
      <c r="P43" s="10"/>
      <c r="Q43" s="10"/>
      <c r="R43" s="10"/>
    </row>
    <row r="44" spans="1:18">
      <c r="A44" s="13"/>
      <c r="B44" s="13"/>
      <c r="C44" s="14"/>
      <c r="D44" s="12"/>
      <c r="E44" s="12"/>
      <c r="F44" s="14"/>
      <c r="G44" s="12"/>
      <c r="H44" s="12"/>
      <c r="I44" s="14"/>
      <c r="J44" s="12"/>
      <c r="K44" s="12"/>
      <c r="L44" s="14"/>
      <c r="M44" s="12"/>
      <c r="N44" s="12"/>
      <c r="O44" s="10"/>
      <c r="P44" s="10"/>
      <c r="Q44" s="10"/>
      <c r="R44" s="10"/>
    </row>
    <row r="45" spans="1:18">
      <c r="A45" s="13"/>
      <c r="B45" s="13"/>
      <c r="C45" s="14"/>
      <c r="D45" s="12"/>
      <c r="E45" s="12"/>
      <c r="F45" s="14"/>
      <c r="G45" s="12"/>
      <c r="H45" s="12"/>
      <c r="I45" s="14"/>
      <c r="J45" s="12"/>
      <c r="K45" s="12"/>
      <c r="L45" s="14"/>
      <c r="M45" s="12"/>
      <c r="N45" s="12"/>
      <c r="O45" s="10"/>
      <c r="P45" s="10"/>
      <c r="Q45" s="10"/>
      <c r="R45" s="10"/>
    </row>
    <row r="46" spans="1:18">
      <c r="A46" s="13"/>
      <c r="B46" s="13"/>
      <c r="C46" s="14"/>
      <c r="D46" s="12"/>
      <c r="E46" s="12"/>
      <c r="F46" s="14"/>
      <c r="G46" s="12"/>
      <c r="H46" s="12"/>
      <c r="I46" s="14"/>
      <c r="J46" s="12"/>
      <c r="K46" s="12"/>
      <c r="L46" s="14"/>
      <c r="M46" s="12"/>
      <c r="N46" s="12"/>
      <c r="O46" s="10"/>
      <c r="P46" s="10"/>
      <c r="Q46" s="10"/>
      <c r="R46" s="10"/>
    </row>
    <row r="47" spans="1:18">
      <c r="A47" s="13"/>
      <c r="B47" s="13"/>
      <c r="C47" s="14"/>
      <c r="D47" s="12"/>
      <c r="E47" s="12"/>
      <c r="F47" s="14"/>
      <c r="G47" s="12"/>
      <c r="H47" s="12"/>
      <c r="I47" s="14"/>
      <c r="J47" s="12"/>
      <c r="K47" s="12"/>
      <c r="L47" s="14"/>
      <c r="M47" s="12"/>
      <c r="N47" s="12"/>
      <c r="O47" s="10"/>
      <c r="P47" s="10"/>
      <c r="Q47" s="10"/>
      <c r="R47" s="10"/>
    </row>
    <row r="48" spans="1:18">
      <c r="A48" s="13"/>
      <c r="B48" s="13"/>
      <c r="C48" s="14"/>
      <c r="D48" s="12"/>
      <c r="E48" s="12"/>
      <c r="F48" s="14"/>
      <c r="G48" s="12"/>
      <c r="H48" s="12"/>
      <c r="I48" s="14"/>
      <c r="J48" s="12"/>
      <c r="K48" s="12"/>
      <c r="L48" s="14"/>
      <c r="M48" s="12"/>
      <c r="N48" s="12"/>
      <c r="O48" s="10"/>
      <c r="P48" s="10"/>
      <c r="Q48" s="10"/>
      <c r="R48" s="10"/>
    </row>
    <row r="49" spans="1:18">
      <c r="A49" s="13"/>
      <c r="B49" s="13"/>
      <c r="C49" s="14"/>
      <c r="D49" s="12"/>
      <c r="E49" s="12"/>
      <c r="F49" s="14"/>
      <c r="G49" s="12"/>
      <c r="H49" s="12"/>
      <c r="I49" s="14"/>
      <c r="J49" s="12"/>
      <c r="K49" s="12"/>
      <c r="L49" s="14"/>
      <c r="M49" s="12"/>
      <c r="N49" s="12"/>
      <c r="O49" s="10"/>
      <c r="P49" s="10"/>
      <c r="Q49" s="10"/>
      <c r="R49" s="10"/>
    </row>
    <row r="50" spans="1:18">
      <c r="A50" s="13"/>
      <c r="B50" s="13"/>
      <c r="C50" s="14"/>
      <c r="D50" s="12"/>
      <c r="E50" s="12"/>
      <c r="F50" s="14"/>
      <c r="G50" s="12"/>
      <c r="H50" s="12"/>
      <c r="I50" s="14"/>
      <c r="J50" s="12"/>
      <c r="K50" s="12"/>
      <c r="L50" s="14"/>
      <c r="M50" s="12"/>
      <c r="N50" s="12"/>
      <c r="O50" s="10"/>
      <c r="P50" s="10"/>
      <c r="Q50" s="10"/>
      <c r="R50" s="10"/>
    </row>
    <row r="51" spans="1:18">
      <c r="A51" s="13"/>
      <c r="B51" s="13"/>
      <c r="C51" s="14"/>
      <c r="D51" s="12"/>
      <c r="E51" s="12"/>
      <c r="F51" s="14"/>
      <c r="G51" s="12"/>
      <c r="H51" s="12"/>
      <c r="I51" s="14"/>
      <c r="J51" s="12"/>
      <c r="K51" s="12"/>
      <c r="L51" s="14"/>
      <c r="M51" s="12"/>
      <c r="N51" s="12"/>
      <c r="O51" s="10"/>
      <c r="P51" s="10"/>
      <c r="Q51" s="10"/>
      <c r="R51" s="10"/>
    </row>
    <row r="52" spans="1:18">
      <c r="A52" s="13"/>
      <c r="B52" s="13"/>
      <c r="C52" s="14"/>
      <c r="D52" s="12"/>
      <c r="E52" s="12"/>
      <c r="F52" s="14"/>
      <c r="G52" s="12"/>
      <c r="H52" s="12"/>
      <c r="I52" s="14"/>
      <c r="J52" s="12"/>
      <c r="K52" s="12"/>
      <c r="L52" s="14"/>
      <c r="M52" s="12"/>
      <c r="N52" s="12"/>
      <c r="O52" s="10"/>
      <c r="P52" s="10"/>
      <c r="Q52" s="10"/>
      <c r="R52" s="10"/>
    </row>
    <row r="53" spans="1:18">
      <c r="A53" s="13"/>
      <c r="B53" s="13"/>
      <c r="C53" s="14"/>
      <c r="D53" s="12"/>
      <c r="E53" s="12"/>
      <c r="F53" s="14"/>
      <c r="G53" s="12"/>
      <c r="H53" s="12"/>
      <c r="I53" s="14"/>
      <c r="J53" s="12"/>
      <c r="K53" s="12"/>
      <c r="L53" s="14"/>
      <c r="M53" s="12"/>
      <c r="N53" s="12"/>
      <c r="O53" s="10"/>
      <c r="P53" s="10"/>
      <c r="Q53" s="10"/>
      <c r="R53" s="10"/>
    </row>
    <row r="54" spans="1:18">
      <c r="A54" s="13"/>
      <c r="B54" s="13"/>
      <c r="C54" s="14"/>
      <c r="D54" s="12"/>
      <c r="E54" s="12"/>
      <c r="F54" s="14"/>
      <c r="G54" s="12"/>
      <c r="H54" s="12"/>
      <c r="I54" s="14"/>
      <c r="J54" s="12"/>
      <c r="K54" s="12"/>
      <c r="L54" s="14"/>
      <c r="M54" s="12"/>
      <c r="N54" s="12"/>
      <c r="O54" s="10"/>
      <c r="P54" s="10"/>
      <c r="Q54" s="10"/>
      <c r="R54" s="10"/>
    </row>
    <row r="55" spans="1:18">
      <c r="A55" s="13"/>
      <c r="B55" s="13"/>
      <c r="C55" s="14"/>
      <c r="D55" s="12"/>
      <c r="E55" s="12"/>
      <c r="F55" s="14"/>
      <c r="G55" s="12"/>
      <c r="H55" s="12"/>
      <c r="I55" s="14"/>
      <c r="J55" s="12"/>
      <c r="K55" s="12"/>
      <c r="L55" s="14"/>
      <c r="M55" s="12"/>
      <c r="N55" s="12"/>
      <c r="O55" s="10"/>
      <c r="P55" s="10"/>
      <c r="Q55" s="10"/>
      <c r="R55" s="10"/>
    </row>
    <row r="56" spans="1:18">
      <c r="A56" s="13"/>
      <c r="B56" s="13"/>
      <c r="C56" s="14"/>
      <c r="D56" s="12"/>
      <c r="E56" s="12"/>
      <c r="F56" s="14"/>
      <c r="G56" s="12"/>
      <c r="H56" s="12"/>
      <c r="I56" s="14"/>
      <c r="J56" s="12"/>
      <c r="K56" s="12"/>
      <c r="L56" s="14"/>
      <c r="M56" s="12"/>
      <c r="N56" s="12"/>
      <c r="O56" s="10"/>
      <c r="P56" s="10"/>
      <c r="Q56" s="10"/>
      <c r="R56" s="10"/>
    </row>
    <row r="57" spans="1:18">
      <c r="A57" s="13"/>
      <c r="B57" s="13"/>
      <c r="C57" s="14"/>
      <c r="D57" s="12"/>
      <c r="E57" s="12"/>
      <c r="F57" s="14"/>
      <c r="G57" s="12"/>
      <c r="H57" s="12"/>
      <c r="I57" s="14"/>
      <c r="J57" s="12"/>
      <c r="K57" s="12"/>
      <c r="L57" s="14"/>
      <c r="M57" s="12"/>
      <c r="N57" s="12"/>
      <c r="O57" s="10"/>
      <c r="P57" s="10"/>
      <c r="Q57" s="10"/>
      <c r="R57" s="10"/>
    </row>
    <row r="58" spans="1:18">
      <c r="A58" s="13"/>
      <c r="B58" s="13"/>
      <c r="C58" s="14"/>
      <c r="D58" s="12"/>
      <c r="E58" s="12"/>
      <c r="F58" s="14"/>
      <c r="G58" s="12"/>
      <c r="H58" s="12"/>
      <c r="I58" s="14"/>
      <c r="J58" s="12"/>
      <c r="K58" s="12"/>
      <c r="L58" s="14"/>
      <c r="M58" s="12"/>
      <c r="N58" s="12"/>
      <c r="O58" s="10"/>
      <c r="P58" s="10"/>
      <c r="Q58" s="10"/>
      <c r="R58" s="10"/>
    </row>
    <row r="59" spans="1:18">
      <c r="A59" s="13"/>
      <c r="B59" s="16"/>
      <c r="C59" s="14"/>
      <c r="D59" s="14"/>
      <c r="E59" s="14"/>
      <c r="F59" s="14"/>
      <c r="G59" s="14"/>
      <c r="H59" s="14"/>
      <c r="I59" s="14"/>
      <c r="J59" s="12"/>
      <c r="K59" s="12"/>
      <c r="L59" s="14"/>
      <c r="M59" s="14"/>
      <c r="N59" s="14"/>
      <c r="O59" s="10"/>
      <c r="P59" s="10"/>
    </row>
    <row r="60" spans="1:18">
      <c r="H60" s="4"/>
      <c r="I60" s="14"/>
      <c r="J60" s="14"/>
      <c r="K60" s="14"/>
    </row>
    <row r="61" spans="1:18">
      <c r="H61" s="4"/>
      <c r="I61" s="4"/>
      <c r="J61" s="4"/>
      <c r="K6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tabSelected="1" workbookViewId="0">
      <selection activeCell="Q11" sqref="Q11"/>
    </sheetView>
  </sheetViews>
  <sheetFormatPr defaultRowHeight="14.4"/>
  <cols>
    <col min="1" max="1" width="18.21875" customWidth="1"/>
    <col min="9" max="9" width="18.6640625" customWidth="1"/>
  </cols>
  <sheetData>
    <row r="1" spans="1:2">
      <c r="A1" s="5" t="s">
        <v>0</v>
      </c>
      <c r="B1" s="4">
        <v>2022</v>
      </c>
    </row>
    <row r="2" spans="1:2" ht="15.6">
      <c r="A2" s="7" t="s">
        <v>1</v>
      </c>
      <c r="B2" s="8">
        <v>6116.94</v>
      </c>
    </row>
    <row r="3" spans="1:2" ht="15.6">
      <c r="A3" s="7" t="s">
        <v>2</v>
      </c>
      <c r="B3" s="8">
        <v>16.29</v>
      </c>
    </row>
    <row r="4" spans="1:2" ht="15.6">
      <c r="A4" s="7" t="s">
        <v>3</v>
      </c>
      <c r="B4" s="8">
        <v>1115.45</v>
      </c>
    </row>
    <row r="5" spans="1:2" ht="15.6">
      <c r="A5" s="7" t="s">
        <v>4</v>
      </c>
      <c r="B5" s="8">
        <v>2004.27</v>
      </c>
    </row>
    <row r="6" spans="1:2" ht="15.6">
      <c r="A6" s="7" t="s">
        <v>5</v>
      </c>
      <c r="B6" s="8">
        <v>590.15</v>
      </c>
    </row>
    <row r="7" spans="1:2" ht="15.6">
      <c r="A7" s="7" t="s">
        <v>25</v>
      </c>
      <c r="B7" s="8">
        <v>3994.55</v>
      </c>
    </row>
    <row r="8" spans="1:2" ht="15.6">
      <c r="A8" s="7" t="s">
        <v>6</v>
      </c>
      <c r="B8" s="8">
        <v>0.1</v>
      </c>
    </row>
    <row r="9" spans="1:2" ht="15.6">
      <c r="A9" s="7" t="s">
        <v>7</v>
      </c>
      <c r="B9" s="8">
        <v>41.02</v>
      </c>
    </row>
    <row r="10" spans="1:2" ht="15.6">
      <c r="A10" s="7" t="s">
        <v>8</v>
      </c>
      <c r="B10" s="8">
        <v>2973.3</v>
      </c>
    </row>
    <row r="11" spans="1:2" ht="15.6">
      <c r="A11" s="7" t="s">
        <v>9</v>
      </c>
      <c r="B11" s="8">
        <v>878.14</v>
      </c>
    </row>
    <row r="12" spans="1:2" ht="15.6">
      <c r="A12" s="7" t="s">
        <v>10</v>
      </c>
      <c r="B12" s="8">
        <v>2060.1999999999998</v>
      </c>
    </row>
    <row r="13" spans="1:2" ht="15.6">
      <c r="A13" s="7" t="s">
        <v>11</v>
      </c>
      <c r="B13" s="8">
        <v>5626.26</v>
      </c>
    </row>
    <row r="14" spans="1:2" ht="15.6">
      <c r="A14" s="7" t="s">
        <v>12</v>
      </c>
      <c r="B14" s="8">
        <v>86.49</v>
      </c>
    </row>
    <row r="15" spans="1:2" ht="15.6">
      <c r="A15" s="7" t="s">
        <v>13</v>
      </c>
      <c r="B15" s="8">
        <v>100.48</v>
      </c>
    </row>
    <row r="16" spans="1:2" ht="15.6">
      <c r="A16" s="7" t="s">
        <v>14</v>
      </c>
      <c r="B16" s="8">
        <v>140.5</v>
      </c>
    </row>
    <row r="17" spans="1:9" ht="15.6">
      <c r="A17" s="7" t="s">
        <v>15</v>
      </c>
      <c r="B17" s="8">
        <v>94.78</v>
      </c>
    </row>
    <row r="18" spans="1:9" ht="15.6">
      <c r="A18" s="7" t="s">
        <v>16</v>
      </c>
      <c r="B18" s="8">
        <v>504.06</v>
      </c>
    </row>
    <row r="19" spans="1:9" ht="15.6">
      <c r="A19" s="7" t="s">
        <v>17</v>
      </c>
      <c r="B19" s="8">
        <v>11.76</v>
      </c>
    </row>
    <row r="20" spans="1:9" ht="15.6">
      <c r="A20" s="7" t="s">
        <v>18</v>
      </c>
      <c r="B20" s="8">
        <v>0.33</v>
      </c>
    </row>
    <row r="21" spans="1:9" ht="15.6">
      <c r="A21" s="7" t="s">
        <v>19</v>
      </c>
      <c r="B21" s="8">
        <v>5.55</v>
      </c>
      <c r="I21" s="6" t="s">
        <v>26</v>
      </c>
    </row>
    <row r="22" spans="1:9" ht="15.6">
      <c r="A22" s="7" t="s">
        <v>20</v>
      </c>
      <c r="B22" s="8">
        <v>4522.62</v>
      </c>
      <c r="I22" t="s">
        <v>0</v>
      </c>
    </row>
    <row r="23" spans="1:9" ht="15.6">
      <c r="A23" s="7" t="s">
        <v>21</v>
      </c>
      <c r="B23" s="8">
        <v>109.61</v>
      </c>
      <c r="H23">
        <v>1</v>
      </c>
      <c r="I23" t="s">
        <v>1</v>
      </c>
    </row>
    <row r="24" spans="1:9" ht="15.6">
      <c r="A24" s="7" t="s">
        <v>22</v>
      </c>
      <c r="B24" s="8">
        <v>114.22</v>
      </c>
      <c r="H24">
        <v>2</v>
      </c>
      <c r="I24" t="s">
        <v>11</v>
      </c>
    </row>
    <row r="25" spans="1:9" ht="15.6">
      <c r="A25" s="7" t="s">
        <v>23</v>
      </c>
      <c r="B25" s="8">
        <v>4037.9</v>
      </c>
      <c r="H25">
        <v>3</v>
      </c>
      <c r="I25" t="s">
        <v>20</v>
      </c>
    </row>
    <row r="26" spans="1:9" ht="15.6">
      <c r="A26" s="7" t="s">
        <v>24</v>
      </c>
      <c r="B26" s="8">
        <v>1416.13</v>
      </c>
      <c r="H26">
        <v>4</v>
      </c>
      <c r="I26" t="s">
        <v>23</v>
      </c>
    </row>
    <row r="27" spans="1:9">
      <c r="H27">
        <v>5</v>
      </c>
      <c r="I27" t="s">
        <v>25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0"/>
  <sheetViews>
    <sheetView topLeftCell="G1" workbookViewId="0">
      <selection activeCell="I12" sqref="I12:I30"/>
    </sheetView>
  </sheetViews>
  <sheetFormatPr defaultRowHeight="14.4"/>
  <cols>
    <col min="1" max="1" width="18.77734375" bestFit="1" customWidth="1"/>
    <col min="5" max="5" width="10.6640625" customWidth="1"/>
    <col min="6" max="6" width="13.33203125" customWidth="1"/>
    <col min="9" max="9" width="11.88671875" customWidth="1"/>
  </cols>
  <sheetData>
    <row r="1" spans="1:27">
      <c r="A1" s="5" t="s">
        <v>0</v>
      </c>
      <c r="B1" s="5">
        <v>2005</v>
      </c>
      <c r="C1" s="5">
        <v>2010</v>
      </c>
      <c r="D1" s="5">
        <v>2015</v>
      </c>
      <c r="E1" s="5">
        <v>2020</v>
      </c>
      <c r="F1" s="5" t="s">
        <v>27</v>
      </c>
    </row>
    <row r="2" spans="1:27" ht="15.6">
      <c r="A2" s="7" t="s">
        <v>1</v>
      </c>
      <c r="B2" s="11">
        <v>1230</v>
      </c>
      <c r="C2" s="4">
        <v>2774.8</v>
      </c>
      <c r="D2" s="8">
        <v>3570.62</v>
      </c>
      <c r="E2" s="4">
        <v>5834.7</v>
      </c>
      <c r="F2" s="17">
        <f>(E2-B2)/B2</f>
        <v>3.7436585365853658</v>
      </c>
    </row>
    <row r="3" spans="1:27" ht="15.6">
      <c r="A3" s="7" t="s">
        <v>2</v>
      </c>
      <c r="B3" s="11">
        <v>10</v>
      </c>
      <c r="C3" s="4">
        <v>16.46</v>
      </c>
      <c r="D3" s="8">
        <v>31.64</v>
      </c>
      <c r="E3" s="4">
        <v>14.03</v>
      </c>
      <c r="F3" s="17">
        <f t="shared" ref="F3:F26" si="0">(E3-B3)/B3</f>
        <v>0.40299999999999991</v>
      </c>
    </row>
    <row r="4" spans="1:27" ht="15.6">
      <c r="A4" s="7" t="s">
        <v>3</v>
      </c>
      <c r="B4" s="11">
        <v>610</v>
      </c>
      <c r="C4" s="4">
        <v>723.6</v>
      </c>
      <c r="D4" s="8">
        <v>882.71</v>
      </c>
      <c r="E4" s="4">
        <v>909.83</v>
      </c>
      <c r="F4" s="17">
        <f t="shared" si="0"/>
        <v>0.49152459016393452</v>
      </c>
    </row>
    <row r="5" spans="1:27" ht="15.6">
      <c r="A5" s="7" t="s">
        <v>4</v>
      </c>
      <c r="B5" s="11">
        <v>920</v>
      </c>
      <c r="C5" s="4">
        <v>1517.1</v>
      </c>
      <c r="D5" s="8">
        <v>1535.3</v>
      </c>
      <c r="E5" s="4">
        <v>1612.56</v>
      </c>
      <c r="F5" s="17">
        <f t="shared" si="0"/>
        <v>0.75278260869565217</v>
      </c>
    </row>
    <row r="6" spans="1:27" ht="15.6">
      <c r="A6" s="7" t="s">
        <v>5</v>
      </c>
      <c r="B6" s="11">
        <v>210</v>
      </c>
      <c r="C6" s="4">
        <v>380.6</v>
      </c>
      <c r="D6" s="8">
        <v>587.41999999999996</v>
      </c>
      <c r="E6" s="4">
        <v>585.71</v>
      </c>
      <c r="F6" s="17">
        <f t="shared" si="0"/>
        <v>1.7890952380952383</v>
      </c>
    </row>
    <row r="7" spans="1:27" ht="15.6">
      <c r="A7" s="7" t="s">
        <v>25</v>
      </c>
      <c r="B7" s="11">
        <v>1979</v>
      </c>
      <c r="C7" s="4">
        <v>3978</v>
      </c>
      <c r="D7" s="8">
        <v>4185.5200000000004</v>
      </c>
      <c r="E7" s="4">
        <v>3907.21</v>
      </c>
      <c r="F7" s="17">
        <f t="shared" si="0"/>
        <v>0.9743355229914098</v>
      </c>
    </row>
    <row r="8" spans="1:27" ht="15.6">
      <c r="A8" s="7" t="s">
        <v>6</v>
      </c>
      <c r="B8" s="11">
        <v>0.12</v>
      </c>
      <c r="C8" s="4">
        <v>0.35</v>
      </c>
      <c r="D8" s="8">
        <v>0.42</v>
      </c>
      <c r="E8" s="4">
        <v>0.12</v>
      </c>
      <c r="F8" s="17">
        <f t="shared" si="0"/>
        <v>0</v>
      </c>
    </row>
    <row r="9" spans="1:27" ht="15.6">
      <c r="A9" s="7" t="s">
        <v>7</v>
      </c>
      <c r="B9" s="11">
        <v>0.53</v>
      </c>
      <c r="C9" s="4">
        <v>1.19</v>
      </c>
      <c r="D9" s="8">
        <v>33.28</v>
      </c>
      <c r="E9" s="4">
        <v>32.869999999999997</v>
      </c>
      <c r="F9" s="17">
        <f t="shared" si="0"/>
        <v>61.018867924528294</v>
      </c>
    </row>
    <row r="10" spans="1:27" ht="15.6">
      <c r="A10" s="7" t="s">
        <v>8</v>
      </c>
      <c r="B10" s="11">
        <v>1345</v>
      </c>
      <c r="C10" s="4">
        <v>2281.6</v>
      </c>
      <c r="D10" s="8">
        <v>2370.9499999999998</v>
      </c>
      <c r="E10" s="4">
        <v>3367.67</v>
      </c>
      <c r="F10" s="17">
        <f t="shared" si="0"/>
        <v>1.5038438661710039</v>
      </c>
    </row>
    <row r="11" spans="1:27" ht="15.6">
      <c r="A11" s="7" t="s">
        <v>9</v>
      </c>
      <c r="B11" s="11">
        <v>420</v>
      </c>
      <c r="C11" s="4">
        <v>448.01499999999999</v>
      </c>
      <c r="D11" s="8">
        <v>1292.4100000000001</v>
      </c>
      <c r="E11" s="4">
        <v>957.05</v>
      </c>
      <c r="F11" s="17">
        <f t="shared" si="0"/>
        <v>1.278690476190476</v>
      </c>
      <c r="I11" s="7" t="s">
        <v>11</v>
      </c>
      <c r="J11" s="11">
        <v>4535</v>
      </c>
      <c r="K11" s="11">
        <v>4608.5</v>
      </c>
      <c r="L11" s="11">
        <v>2700</v>
      </c>
      <c r="M11" s="4">
        <v>4960</v>
      </c>
      <c r="N11" s="4">
        <f>(M11+O11)/2</f>
        <v>4631.5</v>
      </c>
      <c r="O11" s="4">
        <v>4303</v>
      </c>
      <c r="P11" s="4">
        <v>4315</v>
      </c>
      <c r="Q11" s="4">
        <v>3600</v>
      </c>
      <c r="R11" s="3">
        <v>4830.6000000000004</v>
      </c>
      <c r="S11" s="2">
        <v>3557.97</v>
      </c>
      <c r="T11" s="8">
        <v>3025.15</v>
      </c>
      <c r="U11" s="8">
        <v>3072.49</v>
      </c>
      <c r="V11" s="4">
        <v>4209.2700000000004</v>
      </c>
      <c r="W11" s="4">
        <v>3562.4</v>
      </c>
      <c r="X11" s="4">
        <v>4153.6499999999996</v>
      </c>
      <c r="Y11" s="4">
        <v>4223.05</v>
      </c>
      <c r="Z11" s="8">
        <v>4910.93</v>
      </c>
      <c r="AA11" s="8">
        <v>5626.26</v>
      </c>
    </row>
    <row r="12" spans="1:27" ht="15.6">
      <c r="A12" s="7" t="s">
        <v>10</v>
      </c>
      <c r="B12" s="11">
        <v>750</v>
      </c>
      <c r="C12" s="4">
        <v>1719.6</v>
      </c>
      <c r="D12" s="8">
        <v>1758.05</v>
      </c>
      <c r="E12" s="4">
        <v>2025.46</v>
      </c>
      <c r="F12" s="17">
        <f t="shared" si="0"/>
        <v>1.7006133333333333</v>
      </c>
      <c r="I12" t="str" cm="1">
        <f t="array" ref="I12:I30">TRANSPOSE(I11:AA11)</f>
        <v>Maharashtra</v>
      </c>
    </row>
    <row r="13" spans="1:27" ht="15.6">
      <c r="A13" s="7" t="s">
        <v>11</v>
      </c>
      <c r="B13" s="11">
        <v>4535</v>
      </c>
      <c r="C13" s="4">
        <v>4303</v>
      </c>
      <c r="D13" s="8">
        <v>3025.15</v>
      </c>
      <c r="E13" s="4">
        <v>4223.05</v>
      </c>
      <c r="F13" s="17">
        <f t="shared" si="0"/>
        <v>-6.878721058434395E-2</v>
      </c>
      <c r="I13">
        <v>4535</v>
      </c>
    </row>
    <row r="14" spans="1:27" ht="15.6">
      <c r="A14" s="7" t="s">
        <v>12</v>
      </c>
      <c r="B14" s="11">
        <v>35</v>
      </c>
      <c r="C14" s="4">
        <v>81.564999999999998</v>
      </c>
      <c r="D14" s="8">
        <v>93.95</v>
      </c>
      <c r="E14" s="4">
        <v>88.5</v>
      </c>
      <c r="F14" s="17">
        <f t="shared" si="0"/>
        <v>1.5285714285714285</v>
      </c>
      <c r="I14">
        <v>4608.5</v>
      </c>
    </row>
    <row r="15" spans="1:27" ht="15.6">
      <c r="A15" s="7" t="s">
        <v>13</v>
      </c>
      <c r="B15" s="11">
        <v>75</v>
      </c>
      <c r="C15" s="4">
        <v>77.69</v>
      </c>
      <c r="D15" s="8">
        <v>88.71</v>
      </c>
      <c r="E15" s="4">
        <v>95.01</v>
      </c>
      <c r="F15" s="17">
        <f t="shared" si="0"/>
        <v>0.26680000000000009</v>
      </c>
      <c r="I15">
        <v>2700</v>
      </c>
    </row>
    <row r="16" spans="1:27" ht="15.6">
      <c r="A16" s="7" t="s">
        <v>14</v>
      </c>
      <c r="B16" s="11">
        <v>200</v>
      </c>
      <c r="C16" s="4">
        <v>117.965</v>
      </c>
      <c r="D16" s="8">
        <v>141.03</v>
      </c>
      <c r="E16" s="4">
        <v>140.5</v>
      </c>
      <c r="F16" s="17">
        <f t="shared" si="0"/>
        <v>-0.29749999999999999</v>
      </c>
      <c r="I16">
        <v>4960</v>
      </c>
    </row>
    <row r="17" spans="1:9" ht="15.6">
      <c r="A17" s="7" t="s">
        <v>15</v>
      </c>
      <c r="B17" s="11">
        <v>60</v>
      </c>
      <c r="C17" s="4">
        <v>74</v>
      </c>
      <c r="D17" s="8">
        <v>108.51</v>
      </c>
      <c r="E17" s="4">
        <v>87.28</v>
      </c>
      <c r="F17" s="17">
        <f t="shared" si="0"/>
        <v>0.45466666666666666</v>
      </c>
      <c r="I17">
        <v>4631.5</v>
      </c>
    </row>
    <row r="18" spans="1:9" ht="15.6">
      <c r="A18" s="7" t="s">
        <v>16</v>
      </c>
      <c r="B18" s="11">
        <v>280</v>
      </c>
      <c r="C18" s="4">
        <v>488.7</v>
      </c>
      <c r="D18" s="8">
        <v>462.71</v>
      </c>
      <c r="E18" s="4">
        <v>502.83</v>
      </c>
      <c r="F18" s="17">
        <f t="shared" si="0"/>
        <v>0.79582142857142857</v>
      </c>
      <c r="I18">
        <v>4303</v>
      </c>
    </row>
    <row r="19" spans="1:9" ht="15.6">
      <c r="A19" s="7" t="s">
        <v>17</v>
      </c>
      <c r="B19" s="11">
        <v>5</v>
      </c>
      <c r="C19" s="4">
        <v>9.0549999999999997</v>
      </c>
      <c r="D19" s="8">
        <v>6.43</v>
      </c>
      <c r="E19" s="4">
        <v>9.0500000000000007</v>
      </c>
      <c r="F19" s="17">
        <f t="shared" si="0"/>
        <v>0.81000000000000016</v>
      </c>
      <c r="I19">
        <v>4315</v>
      </c>
    </row>
    <row r="20" spans="1:9" ht="15.6">
      <c r="A20" s="7" t="s">
        <v>18</v>
      </c>
      <c r="B20" s="11">
        <v>1</v>
      </c>
      <c r="C20" s="4">
        <v>0.82499999999999996</v>
      </c>
      <c r="D20" s="8">
        <v>0.41</v>
      </c>
      <c r="E20" s="4">
        <v>0.41</v>
      </c>
      <c r="F20" s="17">
        <f t="shared" si="0"/>
        <v>-0.59000000000000008</v>
      </c>
      <c r="I20">
        <v>3600</v>
      </c>
    </row>
    <row r="21" spans="1:9" ht="15.6">
      <c r="A21" s="7" t="s">
        <v>19</v>
      </c>
      <c r="B21" s="11">
        <v>3</v>
      </c>
      <c r="C21" s="4">
        <v>3.6</v>
      </c>
      <c r="D21" s="8">
        <v>3.56</v>
      </c>
      <c r="E21" s="4">
        <v>5.53</v>
      </c>
      <c r="F21" s="17">
        <f t="shared" si="0"/>
        <v>0.84333333333333338</v>
      </c>
      <c r="I21">
        <v>4830.6000000000004</v>
      </c>
    </row>
    <row r="22" spans="1:9" ht="15.6">
      <c r="A22" s="7" t="s">
        <v>20</v>
      </c>
      <c r="B22" s="11">
        <v>3462</v>
      </c>
      <c r="C22" s="4">
        <v>5239.1625000000004</v>
      </c>
      <c r="D22" s="8">
        <v>4331.6499999999996</v>
      </c>
      <c r="E22" s="4">
        <v>3895.65</v>
      </c>
      <c r="F22" s="17">
        <f t="shared" si="0"/>
        <v>0.12525996533795497</v>
      </c>
      <c r="I22">
        <v>3557.97</v>
      </c>
    </row>
    <row r="23" spans="1:9" ht="15.6">
      <c r="A23" s="7" t="s">
        <v>21</v>
      </c>
      <c r="B23" s="11">
        <v>300</v>
      </c>
      <c r="C23" s="4">
        <v>123.675</v>
      </c>
      <c r="D23" s="8">
        <v>183.7</v>
      </c>
      <c r="E23" s="4">
        <v>100.12</v>
      </c>
      <c r="F23" s="17">
        <f t="shared" si="0"/>
        <v>-0.66626666666666667</v>
      </c>
      <c r="I23">
        <v>3025.15</v>
      </c>
    </row>
    <row r="24" spans="1:9" ht="15.6">
      <c r="A24" s="7" t="s">
        <v>22</v>
      </c>
      <c r="B24" s="11">
        <v>95</v>
      </c>
      <c r="C24" s="4">
        <v>102.97</v>
      </c>
      <c r="D24" s="8">
        <v>153.62</v>
      </c>
      <c r="E24" s="4">
        <v>111.11</v>
      </c>
      <c r="F24" s="17">
        <f t="shared" si="0"/>
        <v>0.16957894736842105</v>
      </c>
      <c r="I24">
        <v>3072.49</v>
      </c>
    </row>
    <row r="25" spans="1:9" ht="15.6">
      <c r="A25" s="7" t="s">
        <v>23</v>
      </c>
      <c r="B25" s="11">
        <v>1100</v>
      </c>
      <c r="C25" s="4">
        <v>1346.1</v>
      </c>
      <c r="D25" s="8">
        <v>3061.21</v>
      </c>
      <c r="E25" s="4">
        <v>3387.51</v>
      </c>
      <c r="F25" s="17">
        <f t="shared" si="0"/>
        <v>2.0795545454545454</v>
      </c>
      <c r="I25">
        <v>4209.2700000000004</v>
      </c>
    </row>
    <row r="26" spans="1:9" ht="15.6">
      <c r="A26" s="7" t="s">
        <v>24</v>
      </c>
      <c r="B26" s="11">
        <v>800</v>
      </c>
      <c r="C26" s="4">
        <v>1010.1</v>
      </c>
      <c r="D26" s="8">
        <v>1172.3399999999999</v>
      </c>
      <c r="E26" s="4">
        <v>1116.4100000000001</v>
      </c>
      <c r="F26" s="17">
        <f t="shared" si="0"/>
        <v>0.3955125000000001</v>
      </c>
      <c r="I26">
        <v>3562.4</v>
      </c>
    </row>
    <row r="27" spans="1:9">
      <c r="I27">
        <v>4153.6499999999996</v>
      </c>
    </row>
    <row r="28" spans="1:9">
      <c r="I28">
        <v>4223.05</v>
      </c>
    </row>
    <row r="29" spans="1:9">
      <c r="I29">
        <v>4910.93</v>
      </c>
    </row>
    <row r="30" spans="1:9">
      <c r="I30">
        <v>5626.26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 Kshirsagar</dc:creator>
  <cp:lastModifiedBy>VINAY</cp:lastModifiedBy>
  <dcterms:created xsi:type="dcterms:W3CDTF">2026-03-04T10:28:34Z</dcterms:created>
  <dcterms:modified xsi:type="dcterms:W3CDTF">2026-03-19T16:42:06Z</dcterms:modified>
</cp:coreProperties>
</file>